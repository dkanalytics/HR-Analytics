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danyk\Downloads\"/>
    </mc:Choice>
  </mc:AlternateContent>
  <xr:revisionPtr revIDLastSave="0" documentId="13_ncr:1_{F5765176-C729-4AEF-8424-5BED8B671DCA}" xr6:coauthVersionLast="47" xr6:coauthVersionMax="47" xr10:uidLastSave="{00000000-0000-0000-0000-000000000000}"/>
  <bookViews>
    <workbookView xWindow="-108" yWindow="-108" windowWidth="23256" windowHeight="12456" xr2:uid="{00000000-000D-0000-FFFF-FFFF00000000}"/>
  </bookViews>
  <sheets>
    <sheet name="Dashboard" sheetId="9" r:id="rId1"/>
    <sheet name="Key Insights" sheetId="11" r:id="rId2"/>
    <sheet name="Pivots" sheetId="10" r:id="rId3"/>
    <sheet name="Cleaned Data" sheetId="5" r:id="rId4"/>
    <sheet name="Calculations" sheetId="6" r:id="rId5"/>
    <sheet name="Cleaned Data_NZ staff" sheetId="3" r:id="rId6"/>
    <sheet name="Cleaned Data_Ind Staff" sheetId="4" r:id="rId7"/>
    <sheet name="Raw Data 1" sheetId="1" r:id="rId8"/>
    <sheet name="Raw Data 2" sheetId="2" r:id="rId9"/>
  </sheets>
  <definedNames>
    <definedName name="_xlnm._FilterDatabase" localSheetId="6" hidden="1">'Cleaned Data_Ind Staff'!$B$2:$H$94</definedName>
    <definedName name="_xlnm._FilterDatabase" localSheetId="5" hidden="1">'Cleaned Data_NZ staff'!$C$2:$I$93</definedName>
    <definedName name="_xlnm._FilterDatabase" localSheetId="7" hidden="1">'Raw Data 1'!$C$3:$I$103</definedName>
    <definedName name="_xlnm._FilterDatabase" localSheetId="8" hidden="1">'Raw Data 2'!$B$3:$H$115</definedName>
    <definedName name="Slicer_Area">#N/A</definedName>
    <definedName name="Slicer_Department">#N/A</definedName>
  </definedNames>
  <calcPr calcId="191029" iterateDelta="1E-4"/>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9" i="5" l="1"/>
  <c r="C10" i="6" s="1"/>
  <c r="C189" i="5"/>
  <c r="E189" i="5"/>
  <c r="H189" i="5"/>
  <c r="H95" i="4"/>
  <c r="E95" i="4"/>
  <c r="C95" i="4"/>
  <c r="C19" i="6"/>
  <c r="J103" i="5" s="1"/>
  <c r="K103" i="5" s="1"/>
  <c r="L103" i="5" s="1"/>
  <c r="C8" i="6"/>
  <c r="C7" i="6"/>
  <c r="C6" i="6"/>
  <c r="C5" i="6"/>
  <c r="C4" i="6"/>
  <c r="C3" i="6"/>
  <c r="L9" i="9"/>
  <c r="W9" i="9"/>
  <c r="Q9" i="9"/>
  <c r="E9" i="9"/>
  <c r="C9" i="6" l="1"/>
  <c r="J57" i="5"/>
  <c r="K57" i="5" s="1"/>
  <c r="L57" i="5" s="1"/>
  <c r="J31" i="5"/>
  <c r="K31" i="5" s="1"/>
  <c r="L31" i="5" s="1"/>
  <c r="J53" i="5"/>
  <c r="K53" i="5" s="1"/>
  <c r="L53" i="5" s="1"/>
  <c r="J7" i="5"/>
  <c r="K7" i="5" s="1"/>
  <c r="L7" i="5" s="1"/>
  <c r="J173" i="5"/>
  <c r="K173" i="5" s="1"/>
  <c r="L173" i="5" s="1"/>
  <c r="J13" i="5"/>
  <c r="K13" i="5" s="1"/>
  <c r="L13" i="5" s="1"/>
  <c r="J74" i="5"/>
  <c r="K74" i="5" s="1"/>
  <c r="L74" i="5" s="1"/>
  <c r="J125" i="5"/>
  <c r="K125" i="5" s="1"/>
  <c r="L125" i="5" s="1"/>
  <c r="J97" i="5"/>
  <c r="K97" i="5" s="1"/>
  <c r="L97" i="5" s="1"/>
  <c r="J73" i="5"/>
  <c r="K73" i="5" s="1"/>
  <c r="L73" i="5" s="1"/>
  <c r="J154" i="5"/>
  <c r="K154" i="5" s="1"/>
  <c r="L154" i="5" s="1"/>
  <c r="J140" i="5"/>
  <c r="K140" i="5" s="1"/>
  <c r="L140" i="5" s="1"/>
  <c r="J117" i="5"/>
  <c r="K117" i="5" s="1"/>
  <c r="L117" i="5" s="1"/>
  <c r="J19" i="5"/>
  <c r="K19" i="5" s="1"/>
  <c r="L19" i="5" s="1"/>
  <c r="J88" i="5"/>
  <c r="K88" i="5" s="1"/>
  <c r="L88" i="5" s="1"/>
  <c r="J21" i="5"/>
  <c r="K21" i="5" s="1"/>
  <c r="L21" i="5" s="1"/>
  <c r="J65" i="5"/>
  <c r="K65" i="5" s="1"/>
  <c r="L65" i="5" s="1"/>
  <c r="J179" i="5"/>
  <c r="K179" i="5" s="1"/>
  <c r="L179" i="5" s="1"/>
  <c r="J104" i="5"/>
  <c r="K104" i="5" s="1"/>
  <c r="L104" i="5" s="1"/>
  <c r="J34" i="5"/>
  <c r="K34" i="5" s="1"/>
  <c r="L34" i="5" s="1"/>
  <c r="J159" i="5"/>
  <c r="K159" i="5" s="1"/>
  <c r="L159" i="5" s="1"/>
  <c r="J49" i="5"/>
  <c r="K49" i="5" s="1"/>
  <c r="L49" i="5" s="1"/>
  <c r="J122" i="5"/>
  <c r="K122" i="5" s="1"/>
  <c r="L122" i="5" s="1"/>
  <c r="J105" i="5"/>
  <c r="K105" i="5" s="1"/>
  <c r="L105" i="5" s="1"/>
  <c r="J170" i="5"/>
  <c r="K170" i="5" s="1"/>
  <c r="L170" i="5" s="1"/>
  <c r="J113" i="5"/>
  <c r="K113" i="5" s="1"/>
  <c r="L113" i="5" s="1"/>
  <c r="J81" i="5"/>
  <c r="K81" i="5" s="1"/>
  <c r="L81" i="5" s="1"/>
  <c r="J86" i="5"/>
  <c r="K86" i="5" s="1"/>
  <c r="L86" i="5" s="1"/>
  <c r="J169" i="5"/>
  <c r="K169" i="5" s="1"/>
  <c r="L169" i="5" s="1"/>
  <c r="J41" i="5"/>
  <c r="K41" i="5" s="1"/>
  <c r="L41" i="5" s="1"/>
  <c r="J158" i="5"/>
  <c r="K158" i="5" s="1"/>
  <c r="L158" i="5" s="1"/>
  <c r="J101" i="5"/>
  <c r="K101" i="5" s="1"/>
  <c r="L101" i="5" s="1"/>
  <c r="J51" i="5"/>
  <c r="K51" i="5" s="1"/>
  <c r="L51" i="5" s="1"/>
  <c r="J25" i="5"/>
  <c r="K25" i="5" s="1"/>
  <c r="L25" i="5" s="1"/>
  <c r="J188" i="5"/>
  <c r="K188" i="5" s="1"/>
  <c r="L188" i="5" s="1"/>
  <c r="J126" i="5"/>
  <c r="K126" i="5" s="1"/>
  <c r="L126" i="5" s="1"/>
  <c r="J89" i="5"/>
  <c r="K89" i="5" s="1"/>
  <c r="L89" i="5" s="1"/>
  <c r="J153" i="5"/>
  <c r="K153" i="5" s="1"/>
  <c r="L153" i="5" s="1"/>
  <c r="J136" i="5"/>
  <c r="K136" i="5" s="1"/>
  <c r="L136" i="5" s="1"/>
  <c r="J45" i="5"/>
  <c r="K45" i="5" s="1"/>
  <c r="L45" i="5" s="1"/>
  <c r="J16" i="5"/>
  <c r="K16" i="5" s="1"/>
  <c r="L16" i="5" s="1"/>
  <c r="J137" i="5"/>
  <c r="K137" i="5" s="1"/>
  <c r="L137" i="5" s="1"/>
  <c r="J42" i="5"/>
  <c r="K42" i="5" s="1"/>
  <c r="L42" i="5" s="1"/>
  <c r="J185" i="5"/>
  <c r="J119" i="5"/>
  <c r="K119" i="5" s="1"/>
  <c r="L119" i="5" s="1"/>
  <c r="J17" i="5"/>
  <c r="K17" i="5" s="1"/>
  <c r="L17" i="5" s="1"/>
  <c r="J149" i="5"/>
  <c r="K149" i="5" s="1"/>
  <c r="L149" i="5" s="1"/>
  <c r="J23" i="5"/>
  <c r="K23" i="5" s="1"/>
  <c r="L23" i="5" s="1"/>
  <c r="J108" i="5"/>
  <c r="K108" i="5" s="1"/>
  <c r="L108" i="5" s="1"/>
  <c r="J135" i="5"/>
  <c r="K135" i="5" s="1"/>
  <c r="L135" i="5" s="1"/>
  <c r="J167" i="5"/>
  <c r="K167" i="5" s="1"/>
  <c r="L167" i="5" s="1"/>
  <c r="J150" i="5"/>
  <c r="K150" i="5" s="1"/>
  <c r="L150" i="5" s="1"/>
  <c r="J33" i="5"/>
  <c r="K33" i="5" s="1"/>
  <c r="L33" i="5" s="1"/>
  <c r="J120" i="5"/>
  <c r="K120" i="5" s="1"/>
  <c r="L120" i="5" s="1"/>
  <c r="J6" i="5"/>
  <c r="K6" i="5" s="1"/>
  <c r="L6" i="5" s="1"/>
  <c r="J106" i="5"/>
  <c r="K106" i="5" s="1"/>
  <c r="J171" i="5"/>
  <c r="K171" i="5" s="1"/>
  <c r="L171" i="5" s="1"/>
  <c r="J39" i="5"/>
  <c r="K39" i="5" s="1"/>
  <c r="L39" i="5" s="1"/>
  <c r="J156" i="5"/>
  <c r="K156" i="5" s="1"/>
  <c r="L156" i="5" s="1"/>
  <c r="J148" i="5"/>
  <c r="K148" i="5" s="1"/>
  <c r="L148" i="5" s="1"/>
  <c r="J131" i="5"/>
  <c r="K131" i="5" s="1"/>
  <c r="L131" i="5" s="1"/>
  <c r="J92" i="5"/>
  <c r="K92" i="5" s="1"/>
  <c r="L92" i="5" s="1"/>
  <c r="J69" i="5"/>
  <c r="K69" i="5" s="1"/>
  <c r="L69" i="5" s="1"/>
  <c r="J83" i="5"/>
  <c r="K83" i="5" s="1"/>
  <c r="L83" i="5" s="1"/>
  <c r="J47" i="5"/>
  <c r="K47" i="5" s="1"/>
  <c r="L47" i="5" s="1"/>
  <c r="J186" i="5"/>
  <c r="K186" i="5" s="1"/>
  <c r="L186" i="5" s="1"/>
  <c r="J14" i="5"/>
  <c r="K14" i="5" s="1"/>
  <c r="L14" i="5" s="1"/>
  <c r="J174" i="5"/>
  <c r="K174" i="5" s="1"/>
  <c r="L174" i="5" s="1"/>
  <c r="J112" i="5"/>
  <c r="K112" i="5" s="1"/>
  <c r="L112" i="5" s="1"/>
  <c r="J26" i="5"/>
  <c r="K26" i="5" s="1"/>
  <c r="L26" i="5" s="1"/>
  <c r="J59" i="5"/>
  <c r="K59" i="5" s="1"/>
  <c r="L59" i="5" s="1"/>
  <c r="J164" i="5"/>
  <c r="K164" i="5" s="1"/>
  <c r="L164" i="5" s="1"/>
  <c r="J77" i="5"/>
  <c r="K77" i="5" s="1"/>
  <c r="L77" i="5" s="1"/>
  <c r="J127" i="5"/>
  <c r="K127" i="5" s="1"/>
  <c r="L127" i="5" s="1"/>
  <c r="J107" i="5"/>
  <c r="K107" i="5" s="1"/>
  <c r="L107" i="5" s="1"/>
  <c r="J94" i="5"/>
  <c r="K94" i="5" s="1"/>
  <c r="L94" i="5" s="1"/>
  <c r="J96" i="5"/>
  <c r="K96" i="5" s="1"/>
  <c r="L96" i="5" s="1"/>
  <c r="J60" i="5"/>
  <c r="K60" i="5" s="1"/>
  <c r="L60" i="5" s="1"/>
  <c r="J15" i="5"/>
  <c r="K15" i="5" s="1"/>
  <c r="L15" i="5" s="1"/>
  <c r="J11" i="5"/>
  <c r="K11" i="5" s="1"/>
  <c r="L11" i="5" s="1"/>
  <c r="J114" i="5"/>
  <c r="K114" i="5" s="1"/>
  <c r="L114" i="5" s="1"/>
  <c r="J98" i="5"/>
  <c r="K98" i="5" s="1"/>
  <c r="L98" i="5" s="1"/>
  <c r="J90" i="5"/>
  <c r="K90" i="5" s="1"/>
  <c r="L90" i="5" s="1"/>
  <c r="J64" i="5"/>
  <c r="K64" i="5" s="1"/>
  <c r="L64" i="5" s="1"/>
  <c r="J151" i="5"/>
  <c r="K151" i="5" s="1"/>
  <c r="L151" i="5" s="1"/>
  <c r="J187" i="5"/>
  <c r="K187" i="5" s="1"/>
  <c r="L187" i="5" s="1"/>
  <c r="J22" i="5"/>
  <c r="K22" i="5" s="1"/>
  <c r="L22" i="5" s="1"/>
  <c r="J147" i="5"/>
  <c r="K147" i="5" s="1"/>
  <c r="L147" i="5" s="1"/>
  <c r="J133" i="5"/>
  <c r="K133" i="5" s="1"/>
  <c r="L133" i="5" s="1"/>
  <c r="J178" i="5"/>
  <c r="K178" i="5" s="1"/>
  <c r="L178" i="5" s="1"/>
  <c r="J50" i="5"/>
  <c r="K50" i="5" s="1"/>
  <c r="L50" i="5" s="1"/>
  <c r="J72" i="5"/>
  <c r="K72" i="5" s="1"/>
  <c r="L72" i="5" s="1"/>
  <c r="J80" i="5"/>
  <c r="K80" i="5" s="1"/>
  <c r="L80" i="5" s="1"/>
  <c r="J46" i="5"/>
  <c r="K46" i="5" s="1"/>
  <c r="L46" i="5" s="1"/>
  <c r="J142" i="5"/>
  <c r="K142" i="5" s="1"/>
  <c r="L142" i="5" s="1"/>
  <c r="J110" i="5"/>
  <c r="K110" i="5" s="1"/>
  <c r="L110" i="5" s="1"/>
  <c r="J144" i="5"/>
  <c r="K144" i="5" s="1"/>
  <c r="L144" i="5" s="1"/>
  <c r="J165" i="5"/>
  <c r="K165" i="5" s="1"/>
  <c r="L165" i="5" s="1"/>
  <c r="J162" i="5"/>
  <c r="K162" i="5" s="1"/>
  <c r="L162" i="5" s="1"/>
  <c r="J168" i="5"/>
  <c r="K168" i="5" s="1"/>
  <c r="L168" i="5" s="1"/>
  <c r="J66" i="5"/>
  <c r="K66" i="5" s="1"/>
  <c r="L66" i="5" s="1"/>
  <c r="J111" i="5"/>
  <c r="K111" i="5" s="1"/>
  <c r="L111" i="5" s="1"/>
  <c r="J40" i="5"/>
  <c r="K40" i="5" s="1"/>
  <c r="L40" i="5" s="1"/>
  <c r="J9" i="5"/>
  <c r="K9" i="5" s="1"/>
  <c r="L9" i="5" s="1"/>
  <c r="J161" i="5"/>
  <c r="K161" i="5" s="1"/>
  <c r="L161" i="5" s="1"/>
  <c r="J132" i="5"/>
  <c r="K132" i="5" s="1"/>
  <c r="L132" i="5" s="1"/>
  <c r="J184" i="5"/>
  <c r="K184" i="5" s="1"/>
  <c r="L184" i="5" s="1"/>
  <c r="J121" i="5"/>
  <c r="K121" i="5" s="1"/>
  <c r="L121" i="5" s="1"/>
  <c r="J55" i="5"/>
  <c r="K55" i="5" s="1"/>
  <c r="L55" i="5" s="1"/>
  <c r="J160" i="5"/>
  <c r="K160" i="5" s="1"/>
  <c r="L160" i="5" s="1"/>
  <c r="J8" i="5"/>
  <c r="K8" i="5" s="1"/>
  <c r="L8" i="5" s="1"/>
  <c r="J35" i="5"/>
  <c r="K35" i="5" s="1"/>
  <c r="L35" i="5" s="1"/>
  <c r="J79" i="5"/>
  <c r="K79" i="5" s="1"/>
  <c r="L79" i="5" s="1"/>
  <c r="J75" i="5"/>
  <c r="K75" i="5" s="1"/>
  <c r="L75" i="5" s="1"/>
  <c r="J28" i="5"/>
  <c r="K28" i="5" s="1"/>
  <c r="L28" i="5" s="1"/>
  <c r="J130" i="5"/>
  <c r="K130" i="5" s="1"/>
  <c r="L130" i="5" s="1"/>
  <c r="J32" i="5"/>
  <c r="K32" i="5" s="1"/>
  <c r="L32" i="5" s="1"/>
  <c r="J29" i="5"/>
  <c r="K29" i="5" s="1"/>
  <c r="L29" i="5" s="1"/>
  <c r="J181" i="5"/>
  <c r="K181" i="5" s="1"/>
  <c r="L181" i="5" s="1"/>
  <c r="J10" i="5"/>
  <c r="K10" i="5" s="1"/>
  <c r="L10" i="5" s="1"/>
  <c r="J78" i="5"/>
  <c r="K78" i="5" s="1"/>
  <c r="L78" i="5" s="1"/>
  <c r="J172" i="5"/>
  <c r="K172" i="5" s="1"/>
  <c r="L172" i="5" s="1"/>
  <c r="J175" i="5"/>
  <c r="K175" i="5" s="1"/>
  <c r="L175" i="5" s="1"/>
  <c r="J48" i="5"/>
  <c r="K48" i="5" s="1"/>
  <c r="L48" i="5" s="1"/>
  <c r="J36" i="5"/>
  <c r="K36" i="5" s="1"/>
  <c r="L36" i="5" s="1"/>
  <c r="J18" i="5"/>
  <c r="K18" i="5" s="1"/>
  <c r="L18" i="5" s="1"/>
  <c r="J52" i="5"/>
  <c r="K52" i="5" s="1"/>
  <c r="L52" i="5" s="1"/>
  <c r="J54" i="5"/>
  <c r="K54" i="5" s="1"/>
  <c r="L54" i="5" s="1"/>
  <c r="J109" i="5"/>
  <c r="K109" i="5" s="1"/>
  <c r="L109" i="5" s="1"/>
  <c r="J43" i="5"/>
  <c r="K43" i="5" s="1"/>
  <c r="L43" i="5" s="1"/>
  <c r="J44" i="5"/>
  <c r="K44" i="5" s="1"/>
  <c r="L44" i="5" s="1"/>
  <c r="J62" i="5"/>
  <c r="K62" i="5" s="1"/>
  <c r="L62" i="5" s="1"/>
  <c r="J138" i="5"/>
  <c r="K138" i="5" s="1"/>
  <c r="L138" i="5" s="1"/>
  <c r="J30" i="5"/>
  <c r="K30" i="5" s="1"/>
  <c r="L30" i="5" s="1"/>
  <c r="J177" i="5"/>
  <c r="K177" i="5" s="1"/>
  <c r="L177" i="5" s="1"/>
  <c r="J100" i="5"/>
  <c r="K100" i="5" s="1"/>
  <c r="L100" i="5" s="1"/>
  <c r="J91" i="5"/>
  <c r="K91" i="5" s="1"/>
  <c r="L91" i="5" s="1"/>
  <c r="J12" i="5"/>
  <c r="K12" i="5" s="1"/>
  <c r="L12" i="5" s="1"/>
  <c r="J152" i="5"/>
  <c r="K152" i="5" s="1"/>
  <c r="L152" i="5" s="1"/>
  <c r="J38" i="5"/>
  <c r="K38" i="5" s="1"/>
  <c r="L38" i="5" s="1"/>
  <c r="J87" i="5"/>
  <c r="K87" i="5" s="1"/>
  <c r="L87" i="5" s="1"/>
  <c r="J61" i="5"/>
  <c r="K61" i="5" s="1"/>
  <c r="L61" i="5" s="1"/>
  <c r="J180" i="5"/>
  <c r="K180" i="5" s="1"/>
  <c r="L180" i="5" s="1"/>
  <c r="J118" i="5"/>
  <c r="K118" i="5" s="1"/>
  <c r="L118" i="5" s="1"/>
  <c r="J67" i="5"/>
  <c r="K67" i="5" s="1"/>
  <c r="L67" i="5" s="1"/>
  <c r="J63" i="5"/>
  <c r="K63" i="5" s="1"/>
  <c r="L63" i="5" s="1"/>
  <c r="J70" i="5"/>
  <c r="K70" i="5" s="1"/>
  <c r="L70" i="5" s="1"/>
  <c r="J93" i="5"/>
  <c r="K93" i="5" s="1"/>
  <c r="L93" i="5" s="1"/>
  <c r="J95" i="5"/>
  <c r="K95" i="5" s="1"/>
  <c r="L95" i="5" s="1"/>
  <c r="J58" i="5"/>
  <c r="K58" i="5" s="1"/>
  <c r="L58" i="5" s="1"/>
  <c r="J85" i="5"/>
  <c r="K85" i="5" s="1"/>
  <c r="L85" i="5" s="1"/>
  <c r="J27" i="5"/>
  <c r="K27" i="5" s="1"/>
  <c r="L27" i="5" s="1"/>
  <c r="J163" i="5"/>
  <c r="K163" i="5" s="1"/>
  <c r="L163" i="5" s="1"/>
  <c r="J176" i="5"/>
  <c r="K176" i="5" s="1"/>
  <c r="L176" i="5" s="1"/>
  <c r="J124" i="5"/>
  <c r="K124" i="5" s="1"/>
  <c r="L124" i="5" s="1"/>
  <c r="J182" i="5"/>
  <c r="K182" i="5" s="1"/>
  <c r="L182" i="5" s="1"/>
  <c r="J129" i="5"/>
  <c r="K129" i="5" s="1"/>
  <c r="L129" i="5" s="1"/>
  <c r="J37" i="5"/>
  <c r="K37" i="5" s="1"/>
  <c r="L37" i="5" s="1"/>
  <c r="J56" i="5"/>
  <c r="K56" i="5" s="1"/>
  <c r="L56" i="5" s="1"/>
  <c r="J123" i="5"/>
  <c r="K123" i="5" s="1"/>
  <c r="L123" i="5" s="1"/>
  <c r="J155" i="5"/>
  <c r="K155" i="5" s="1"/>
  <c r="L155" i="5" s="1"/>
  <c r="J145" i="5"/>
  <c r="K145" i="5" s="1"/>
  <c r="L145" i="5" s="1"/>
  <c r="J115" i="5"/>
  <c r="K115" i="5" s="1"/>
  <c r="L115" i="5" s="1"/>
  <c r="J71" i="5"/>
  <c r="K71" i="5" s="1"/>
  <c r="L71" i="5" s="1"/>
  <c r="J183" i="5"/>
  <c r="K183" i="5" s="1"/>
  <c r="L183" i="5" s="1"/>
  <c r="J134" i="5"/>
  <c r="K134" i="5" s="1"/>
  <c r="L134" i="5" s="1"/>
  <c r="J68" i="5"/>
  <c r="K68" i="5" s="1"/>
  <c r="L68" i="5" s="1"/>
  <c r="J146" i="5"/>
  <c r="K146" i="5" s="1"/>
  <c r="L146" i="5" s="1"/>
  <c r="J157" i="5"/>
  <c r="K157" i="5" s="1"/>
  <c r="L157" i="5" s="1"/>
  <c r="J116" i="5"/>
  <c r="K116" i="5" s="1"/>
  <c r="L116" i="5" s="1"/>
  <c r="J102" i="5"/>
  <c r="K102" i="5" s="1"/>
  <c r="L102" i="5" s="1"/>
  <c r="J24" i="5"/>
  <c r="K24" i="5" s="1"/>
  <c r="L24" i="5" s="1"/>
  <c r="J82" i="5"/>
  <c r="K82" i="5" s="1"/>
  <c r="L82" i="5" s="1"/>
  <c r="J143" i="5"/>
  <c r="K143" i="5" s="1"/>
  <c r="L143" i="5" s="1"/>
  <c r="J76" i="5"/>
  <c r="K76" i="5" s="1"/>
  <c r="L76" i="5" s="1"/>
  <c r="J139" i="5"/>
  <c r="K139" i="5" s="1"/>
  <c r="L139" i="5" s="1"/>
  <c r="J20" i="5"/>
  <c r="K20" i="5" s="1"/>
  <c r="L20" i="5" s="1"/>
  <c r="J166" i="5"/>
  <c r="K166" i="5" s="1"/>
  <c r="L166" i="5" s="1"/>
  <c r="J128" i="5"/>
  <c r="K128" i="5" s="1"/>
  <c r="L128" i="5" s="1"/>
  <c r="J84" i="5"/>
  <c r="K84" i="5" s="1"/>
  <c r="L84" i="5" s="1"/>
  <c r="J141" i="5"/>
  <c r="K141" i="5" s="1"/>
  <c r="L141" i="5" s="1"/>
  <c r="J99" i="5"/>
  <c r="K99" i="5" s="1"/>
  <c r="L99" i="5" s="1"/>
  <c r="L106" i="5" l="1"/>
  <c r="K185" i="5"/>
  <c r="K189" i="5" s="1"/>
  <c r="C3" i="5" l="1" a="1"/>
  <c r="L185" i="5"/>
  <c r="O6" i="5" l="1"/>
  <c r="O7" i="5"/>
  <c r="O8" i="5"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<sst xmlns="http://schemas.openxmlformats.org/spreadsheetml/2006/main" count="2797" uniqueCount="247">
  <si>
    <t>Gender</t>
  </si>
  <si>
    <t>Name</t>
  </si>
  <si>
    <t>Age</t>
  </si>
  <si>
    <t>Average of Salary</t>
  </si>
  <si>
    <t>Count of Salary</t>
  </si>
  <si>
    <t>Department</t>
  </si>
  <si>
    <t>Female</t>
  </si>
  <si>
    <t>Male</t>
  </si>
  <si>
    <t>Other</t>
  </si>
  <si>
    <t>Grand Total</t>
  </si>
  <si>
    <t>Abhaya Priyavardhan</t>
  </si>
  <si>
    <t>Benny Karolovsky</t>
  </si>
  <si>
    <t>Finance</t>
  </si>
  <si>
    <t>Agnes Collicott</t>
  </si>
  <si>
    <t>Sahila Chandrasekhar</t>
  </si>
  <si>
    <t>HR</t>
  </si>
  <si>
    <t>Agrata Rajarama</t>
  </si>
  <si>
    <t>Roddy Speechley</t>
  </si>
  <si>
    <t>Procurement</t>
  </si>
  <si>
    <t>Akbar Sorabhjee</t>
  </si>
  <si>
    <t>Sarayu Ragunathan</t>
  </si>
  <si>
    <t>Sales</t>
  </si>
  <si>
    <t>Allene Gobbet</t>
  </si>
  <si>
    <t>Kaishori Harathi Kateel</t>
  </si>
  <si>
    <t>Website</t>
  </si>
  <si>
    <t>Alta Kaszper</t>
  </si>
  <si>
    <t>Valentia Etteridge</t>
  </si>
  <si>
    <t>Amal Nimesh</t>
  </si>
  <si>
    <t>Heer Pennathur</t>
  </si>
  <si>
    <t>Ambros Murthwaite</t>
  </si>
  <si>
    <t>Tawnya Tickel</t>
  </si>
  <si>
    <t>Amlankusum Rajabhushan</t>
  </si>
  <si>
    <t>Anjushri Chandiramani</t>
  </si>
  <si>
    <t>Andria Kimpton</t>
  </si>
  <si>
    <t>Ewart Laphorn</t>
  </si>
  <si>
    <t>Anumati Shyamari Meherhomji</t>
  </si>
  <si>
    <t>Archibald Filliskirk</t>
  </si>
  <si>
    <t>Ardhendu Abhichandra Jayakar</t>
  </si>
  <si>
    <t>Asija Pothireddy</t>
  </si>
  <si>
    <t>Ayog Chakrabarti</t>
  </si>
  <si>
    <t>Bandhula Sathyanna</t>
  </si>
  <si>
    <t>Barr Faughny</t>
  </si>
  <si>
    <t>Baruna Ogale</t>
  </si>
  <si>
    <t>Bennie Pepis</t>
  </si>
  <si>
    <t>Bernie Gorges</t>
  </si>
  <si>
    <t>Bev Lashley</t>
  </si>
  <si>
    <t>Beverie Moffet</t>
  </si>
  <si>
    <t>Bhuvan Pals</t>
  </si>
  <si>
    <t>Bili Sizey</t>
  </si>
  <si>
    <t>Brien Boise</t>
  </si>
  <si>
    <t>Camilla Castle</t>
  </si>
  <si>
    <t>Caro Chappel</t>
  </si>
  <si>
    <t>Chandana Sannidhi Surnilla</t>
  </si>
  <si>
    <t>Cherlyn Barter</t>
  </si>
  <si>
    <t>Ches Bonnell</t>
  </si>
  <si>
    <t>Chitrasen Laul</t>
  </si>
  <si>
    <t>Collin Jagson</t>
  </si>
  <si>
    <t>Constantino Espley</t>
  </si>
  <si>
    <t>Crissie Cordel</t>
  </si>
  <si>
    <t>Curtice Advani</t>
  </si>
  <si>
    <t>Damayanti Thangavadivelu</t>
  </si>
  <si>
    <t>Daruka Ghazali</t>
  </si>
  <si>
    <t>Deepali Charan</t>
  </si>
  <si>
    <t>Deepit Ranjana</t>
  </si>
  <si>
    <t>Dell Molloy</t>
  </si>
  <si>
    <t>Dennison Crosswaite</t>
  </si>
  <si>
    <t>Devasree Fullara Saurin</t>
  </si>
  <si>
    <t>Dhruv Manjunath</t>
  </si>
  <si>
    <t>Dotty Strutley</t>
  </si>
  <si>
    <t>Drusy MacCombe</t>
  </si>
  <si>
    <t>Dyna Doucette</t>
  </si>
  <si>
    <t>Ebonee Roxburgh</t>
  </si>
  <si>
    <t>Elia Cockton</t>
  </si>
  <si>
    <t>Enoch Dowrey</t>
  </si>
  <si>
    <t>Erin Androsik</t>
  </si>
  <si>
    <t>Esmaria Denecamp</t>
  </si>
  <si>
    <t>Florinda Crace</t>
  </si>
  <si>
    <t>Fullara Sushanti Mokate</t>
  </si>
  <si>
    <t>Gangadutt Ragha</t>
  </si>
  <si>
    <t>Geena Raghavanpillai</t>
  </si>
  <si>
    <t>Gigi Bohling</t>
  </si>
  <si>
    <t>Godavari Veena</t>
  </si>
  <si>
    <t>Gray Seamon</t>
  </si>
  <si>
    <t>Gretchen Callow</t>
  </si>
  <si>
    <t>Gumwant Veera</t>
  </si>
  <si>
    <t>Gunar Cockshoot</t>
  </si>
  <si>
    <t>Halimeda Kuscha</t>
  </si>
  <si>
    <t>Hemavati Muthiah</t>
  </si>
  <si>
    <t>Hinda Label</t>
  </si>
  <si>
    <t>Hogan Iles</t>
  </si>
  <si>
    <t>Hoyt D'Alesco</t>
  </si>
  <si>
    <t>Hridaynath Tendulkar</t>
  </si>
  <si>
    <t>Husein Augar</t>
  </si>
  <si>
    <t>Hyacinthie Braybrooke</t>
  </si>
  <si>
    <t>Ilesh Dasgupta</t>
  </si>
  <si>
    <t>Indu Varada Sumedh</t>
  </si>
  <si>
    <t>Jagajeet Viraj</t>
  </si>
  <si>
    <t>Jaishree Atasi Yavatkar</t>
  </si>
  <si>
    <t>Jan Morforth</t>
  </si>
  <si>
    <t>Janene Hairsine</t>
  </si>
  <si>
    <t>Jehu Rudeforth</t>
  </si>
  <si>
    <t>Kaine Padly</t>
  </si>
  <si>
    <t>Kamalakshi Mukundan</t>
  </si>
  <si>
    <t>Kantimoy Pritish</t>
  </si>
  <si>
    <t>Karlen McCaffrey</t>
  </si>
  <si>
    <t>Karuna Pashupathy</t>
  </si>
  <si>
    <t>Kassi Jonson</t>
  </si>
  <si>
    <t>Kath Bletsoe</t>
  </si>
  <si>
    <t>Kaye Crocroft</t>
  </si>
  <si>
    <t>Kelci Walkden</t>
  </si>
  <si>
    <t>Kellsie Waby</t>
  </si>
  <si>
    <t>Kevalkumar Solanki</t>
  </si>
  <si>
    <t>Kissiah Maydway</t>
  </si>
  <si>
    <t>Krishnakanta Vellanki</t>
  </si>
  <si>
    <t>Krittika Gaekwad</t>
  </si>
  <si>
    <t>Kulbhushan Moorthy</t>
  </si>
  <si>
    <t>Kunja Prashanta Vibha</t>
  </si>
  <si>
    <t>Lalit Kothari</t>
  </si>
  <si>
    <t>Leilah Yesinin</t>
  </si>
  <si>
    <t>Lilyan Klimpt</t>
  </si>
  <si>
    <t>Lindy Guillet</t>
  </si>
  <si>
    <t>Madelene Upcott</t>
  </si>
  <si>
    <t>Madge McCloughen</t>
  </si>
  <si>
    <t>Madhavdas Buhpathi</t>
  </si>
  <si>
    <t>Madhumati Gazala Soumitra</t>
  </si>
  <si>
    <t>Mahalia Larcher</t>
  </si>
  <si>
    <t>Mahindra Sreedharan</t>
  </si>
  <si>
    <t>Makshi Vinutha</t>
  </si>
  <si>
    <t>Mallorie Waber</t>
  </si>
  <si>
    <t>Manjusri Ruchi</t>
  </si>
  <si>
    <t>Mardav Ramaswami</t>
  </si>
  <si>
    <t>Marney O'Breen</t>
  </si>
  <si>
    <t>Merrilee Plenty</t>
  </si>
  <si>
    <t>Mirium Seemantini Shivakumar</t>
  </si>
  <si>
    <t>Mithil Nadkarni</t>
  </si>
  <si>
    <t>Mollie Hanway</t>
  </si>
  <si>
    <t>Murry Dryburgh</t>
  </si>
  <si>
    <t>My Hanscome</t>
  </si>
  <si>
    <t>Myer McCory</t>
  </si>
  <si>
    <t>Nanak Sapna</t>
  </si>
  <si>
    <t>Narois Motiwala</t>
  </si>
  <si>
    <t>Niall Selesnick</t>
  </si>
  <si>
    <t>Oby Sorrel</t>
  </si>
  <si>
    <t>Oran Buxcy</t>
  </si>
  <si>
    <t>Orton Livick</t>
  </si>
  <si>
    <t>Piyali Mahanthapa</t>
  </si>
  <si>
    <t>Pragya Nilufar</t>
  </si>
  <si>
    <t>Pratigya Rema</t>
  </si>
  <si>
    <t>Prerana Nishita</t>
  </si>
  <si>
    <t>Purnendu Vijayarangan</t>
  </si>
  <si>
    <t>Rafaelita Blaksland</t>
  </si>
  <si>
    <t>Rameshwari Chikodi</t>
  </si>
  <si>
    <t>Ramnath Ravuri</t>
  </si>
  <si>
    <t>Ranajay Kailashnath Richa</t>
  </si>
  <si>
    <t>Rukma Vinita</t>
  </si>
  <si>
    <t>Rupak Mehra</t>
  </si>
  <si>
    <t>Rushil Kripa</t>
  </si>
  <si>
    <t>Sahas Sanabhi Shrikant</t>
  </si>
  <si>
    <t>Sameer Shashank Sapra</t>
  </si>
  <si>
    <t>Sanchali Shirish</t>
  </si>
  <si>
    <t>Sarojini Naueshwara</t>
  </si>
  <si>
    <t>Sartaj Probal</t>
  </si>
  <si>
    <t>Satyendra Venkatadri</t>
  </si>
  <si>
    <t>Sawini Chandan</t>
  </si>
  <si>
    <t>Shari McNee</t>
  </si>
  <si>
    <t>Shattesh Utpat</t>
  </si>
  <si>
    <t>Shayne Stegel</t>
  </si>
  <si>
    <t>Shekhar Eswara</t>
  </si>
  <si>
    <t>Shevantilal Muppala</t>
  </si>
  <si>
    <t>Shiuli Sapna</t>
  </si>
  <si>
    <t>Shobhana Samuel</t>
  </si>
  <si>
    <t>Shreela Ramasubraman</t>
  </si>
  <si>
    <t>Shubhra Potla</t>
  </si>
  <si>
    <t>Shulabh Qutub Sundaramoorthy</t>
  </si>
  <si>
    <t>Sibyl Dunkirk</t>
  </si>
  <si>
    <t>Simon Kembery</t>
  </si>
  <si>
    <t>Suchira Bhanupriya Tapti</t>
  </si>
  <si>
    <t>Sukhdev Nageshwar</t>
  </si>
  <si>
    <t>Tarala Vishaal</t>
  </si>
  <si>
    <t>Tatum Hush</t>
  </si>
  <si>
    <t>Teressa Udden</t>
  </si>
  <si>
    <t>Torrance Collier</t>
  </si>
  <si>
    <t>Tracy Renad</t>
  </si>
  <si>
    <t>Udyan Lanka</t>
  </si>
  <si>
    <t>Upendra Swati</t>
  </si>
  <si>
    <t>Van Tuxwell</t>
  </si>
  <si>
    <t>Vanmala Shriharsha</t>
  </si>
  <si>
    <t>Vasu Nandin</t>
  </si>
  <si>
    <t>Vic Radolf</t>
  </si>
  <si>
    <t>Vinanti Choudhari</t>
  </si>
  <si>
    <t>Violante Courtonne</t>
  </si>
  <si>
    <t>Virginia McConville</t>
  </si>
  <si>
    <t>Waheeda Vasuman</t>
  </si>
  <si>
    <t>William Reeveley</t>
  </si>
  <si>
    <t>Wilone O'Kielt</t>
  </si>
  <si>
    <t>Yagna Sujeev</t>
  </si>
  <si>
    <t>Yauvani Tarpa</t>
  </si>
  <si>
    <t>Zach Polon</t>
  </si>
  <si>
    <t>Employee</t>
  </si>
  <si>
    <t>Date Joined</t>
  </si>
  <si>
    <t>Salary</t>
  </si>
  <si>
    <t>Rating</t>
  </si>
  <si>
    <t>Area</t>
  </si>
  <si>
    <t>Tenure</t>
  </si>
  <si>
    <t>Bonus</t>
  </si>
  <si>
    <t>Select Name:</t>
  </si>
  <si>
    <t>Above average</t>
  </si>
  <si>
    <t>New Zealand</t>
  </si>
  <si>
    <t>Average</t>
  </si>
  <si>
    <t>Poor</t>
  </si>
  <si>
    <t>Exceptional</t>
  </si>
  <si>
    <t>Very poor</t>
  </si>
  <si>
    <t>India</t>
  </si>
  <si>
    <t>No of employees</t>
  </si>
  <si>
    <t>Average Salary</t>
  </si>
  <si>
    <t>Median Salary</t>
  </si>
  <si>
    <t>Average Age</t>
  </si>
  <si>
    <t>Number of Males</t>
  </si>
  <si>
    <t>Number of Females</t>
  </si>
  <si>
    <t>Female/Male Ration</t>
  </si>
  <si>
    <t>Today's Date</t>
  </si>
  <si>
    <t>Total</t>
  </si>
  <si>
    <t>Row Labels</t>
  </si>
  <si>
    <t>Column Labels</t>
  </si>
  <si>
    <t>Slicer: Area</t>
  </si>
  <si>
    <t>Max of Salary</t>
  </si>
  <si>
    <t>Slicer: Area, Dept</t>
  </si>
  <si>
    <t>Sum of Salary</t>
  </si>
  <si>
    <t>Sum of Bonus</t>
  </si>
  <si>
    <t>Count Bonus</t>
  </si>
  <si>
    <t>Sum of Count Bonus</t>
  </si>
  <si>
    <t>Employees receive a 20% bonus based on eligibility criteria.</t>
  </si>
  <si>
    <t>Dataset: Synthetic HR employee data created for analytics and dashboarding purposes.</t>
  </si>
  <si>
    <t>Insight Calculations</t>
  </si>
  <si>
    <t>Number of Employees earning below the mean</t>
  </si>
  <si>
    <t>Key Insights</t>
  </si>
  <si>
    <t>Action Items</t>
  </si>
  <si>
    <r>
      <rPr>
        <b/>
        <sz val="11"/>
        <color theme="1"/>
        <rFont val="Times New Roman"/>
        <family val="1"/>
      </rPr>
      <t xml:space="preserve">1. Women earn more than men on average here, which the opposite of the usual pay-gap story. </t>
    </r>
    <r>
      <rPr>
        <sz val="11"/>
        <color theme="1"/>
        <rFont val="Times New Roman"/>
        <family val="1"/>
      </rPr>
      <t xml:space="preserve">
- Female average salary is $78,284 vs. Male at $74,915. This holds in four of five departments (Finance, HR, Procurement, Sales).
- Only Website runs the other way, where men average $86,408 vs. women at $70,989, a genuinely large gap worth a closer look on its own.</t>
    </r>
  </si>
  <si>
    <r>
      <rPr>
        <b/>
        <sz val="11"/>
        <color theme="1"/>
        <rFont val="Times New Roman"/>
        <family val="1"/>
      </rPr>
      <t>2. Performance ratings barely track with pay.</t>
    </r>
    <r>
      <rPr>
        <sz val="11"/>
        <color theme="1"/>
        <rFont val="Times New Roman"/>
        <family val="1"/>
      </rPr>
      <t xml:space="preserve">
- Average salary by rating is nearly flat: Very Poor ($77,423), Poor ($78,115), Average ($76,799), Above Average ($75,933) all sit within about $2,200 of each other.  
- Only "Exceptional" breaks away, at $92,080. In fact, the five highest individual salaries in the company all belong to employees rated "Average".
- The pay scale doesn't appear to reward performance below the top tier.</t>
    </r>
  </si>
  <si>
    <r>
      <rPr>
        <b/>
        <sz val="11"/>
        <color theme="1"/>
        <rFont val="Times New Roman"/>
        <family val="1"/>
      </rPr>
      <t>3. Neither age nor tenure meaningfully predicts salary</t>
    </r>
    <r>
      <rPr>
        <sz val="11"/>
        <color theme="1"/>
        <rFont val="Times New Roman"/>
        <family val="1"/>
      </rPr>
      <t>. 
- The correlation between Salary and Age is 0.07; between Salary and Tenure it's 0.01, thus both are essentially zero. 
- Pay here is not structured around seniority or experience.</t>
    </r>
  </si>
  <si>
    <r>
      <rPr>
        <b/>
        <sz val="11"/>
        <color theme="1"/>
        <rFont val="Times New Roman"/>
        <family val="1"/>
      </rPr>
      <t>4. Three employees received no bonus at all, out of 183 (98% did).</t>
    </r>
    <r>
      <rPr>
        <sz val="11"/>
        <color theme="1"/>
        <rFont val="Times New Roman"/>
        <family val="1"/>
      </rPr>
      <t xml:space="preserve">
- Their ratings and tenure look unremarkable compared to bonus recipients, so there is no obvious pattern explaining the gap.</t>
    </r>
  </si>
  <si>
    <r>
      <rPr>
        <b/>
        <sz val="11"/>
        <color theme="1"/>
        <rFont val="Times New Roman"/>
        <family val="1"/>
      </rPr>
      <t>6. Gender distribution varies sharply by department.</t>
    </r>
    <r>
      <rPr>
        <sz val="11"/>
        <color theme="1"/>
        <rFont val="Times New Roman"/>
        <family val="1"/>
      </rPr>
      <t xml:space="preserve">
- Procurement is 35 Male vs. 20 Female (0 Other); HR is 6 Female vs. 2 Male. 
- Website is the only department with a meaningful "Other" gender presence (4 people) and is also the one department where the pay gap runs against women.</t>
    </r>
  </si>
  <si>
    <r>
      <rPr>
        <b/>
        <sz val="11"/>
        <color theme="1"/>
        <rFont val="Times New Roman"/>
        <family val="1"/>
      </rPr>
      <t>5. Procurement and Website carry the most headcount and pay the most on average (excluding the very small HR team of 8).</t>
    </r>
    <r>
      <rPr>
        <sz val="11"/>
        <color theme="1"/>
        <rFont val="Times New Roman"/>
        <family val="1"/>
      </rPr>
      <t xml:space="preserve"> 
- HR has the highest average salary company-wide ($89,650) but is also the smallest department by far , worth noting since a small team average is more easily skewed by one or two high earners.</t>
    </r>
  </si>
  <si>
    <r>
      <rPr>
        <b/>
        <sz val="11"/>
        <color theme="1"/>
        <rFont val="Times New Roman"/>
        <family val="1"/>
      </rPr>
      <t>3. Check the three zero-bonus employees individually</t>
    </r>
    <r>
      <rPr>
        <sz val="11"/>
        <color theme="1"/>
        <rFont val="Times New Roman"/>
        <family val="1"/>
      </rPr>
      <t>.
- Confirm whether it's a deliberate policy reason (e.g. probation period, recent start) or a data entry gap.</t>
    </r>
  </si>
  <si>
    <r>
      <t xml:space="preserve">1. </t>
    </r>
    <r>
      <rPr>
        <b/>
        <sz val="11"/>
        <color theme="1"/>
        <rFont val="Times New Roman"/>
        <family val="1"/>
      </rPr>
      <t>Investigate the Website department's gender pay gap specifically</t>
    </r>
    <r>
      <rPr>
        <sz val="11"/>
        <color theme="1"/>
        <rFont val="Times New Roman"/>
        <family val="1"/>
      </rPr>
      <t>. 
-It is the one place where the company-wide "women earn more" pattern reverses, and by a wide margin — worth understanding whether that's role/seniority mix or something else before it becomes a compliance question.</t>
    </r>
  </si>
  <si>
    <r>
      <rPr>
        <b/>
        <sz val="11"/>
        <color theme="1"/>
        <rFont val="Times New Roman"/>
        <family val="1"/>
      </rPr>
      <t>2. Review whether performance ratings should influence pay more than they currently do.</t>
    </r>
    <r>
      <rPr>
        <sz val="11"/>
        <color theme="1"/>
        <rFont val="Times New Roman"/>
        <family val="1"/>
      </rPr>
      <t xml:space="preserve"> 
- With Poor and Very Poor performers earning about the same as Average performers, the current pay structure doesn't obviously incentivize the rating system it uses.</t>
    </r>
  </si>
  <si>
    <r>
      <rPr>
        <b/>
        <sz val="11"/>
        <color theme="1"/>
        <rFont val="Times New Roman"/>
        <family val="1"/>
      </rPr>
      <t xml:space="preserve">4. Address the Procurement/HR gender skew if diversity metrics matter to Nexora's reporting.
</t>
    </r>
    <r>
      <rPr>
        <sz val="11"/>
        <color theme="1"/>
        <rFont val="Times New Roman"/>
        <family val="1"/>
      </rPr>
      <t>- Both departments sit well outside a roughly even split.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</si>
</sst>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R-1C09]\ #,##0.00;[$R-1C09]\ \-#,##0.00"/>
    <numFmt numFmtId="165" formatCode="[$R-1C09]#,##0.00"/>
    <numFmt numFmtId="166" formatCode="[$-F800]dddd\,\ mmmm\ dd\,\ yyyy"/>
    <numFmt numFmtId="167" formatCode="_-[$$-409]* #,##0.00_ ;_-[$$-409]* \-#,##0.00\ ;_-[$$-409]* &quot;-&quot;??_ ;_-@_ "/>
    <numFmt numFmtId="168" formatCode="[$$-409]#,##0.00_ ;\-[$$-409]#,##0.00\ "/>
    <numFmt numFmtId="169" formatCode="[$$-409]#,##0.00"/>
  </numFmts>
  <fonts count="12">
    <font>
      <sz val="11"/>
      <color theme="1"/>
      <name val="Calibri"/>
      <charset val="134"/>
      <scheme val="minor"/>
    </font>
    <font>
      <sz val="11"/>
      <color theme="1"/>
      <name val="Calibri"/>
      <family val="2"/>
      <scheme val="minor"/>
    </font>
    <font>
      <b/>
      <sz val="11"/>
      <color theme="1"/>
      <name val="Calibri"/>
      <charset val="134"/>
      <scheme val="minor"/>
    </font>
    <font>
      <sz val="8"/>
      <name val="Calibri"/>
      <family val="2"/>
      <scheme val="minor"/>
    </font>
    <font>
      <sz val="11"/>
      <color theme="1"/>
      <name val="Calibri"/>
      <family val="2"/>
      <charset val="134"/>
      <scheme val="minor"/>
    </font>
    <font>
      <sz val="11"/>
      <color theme="1"/>
      <name val="Calibri"/>
      <charset val="134"/>
      <scheme val="minor"/>
    </font>
    <font>
      <sz val="11"/>
      <color theme="1"/>
      <name val="Times New Roman"/>
      <family val="1"/>
    </font>
    <font>
      <b/>
      <sz val="24"/>
      <color theme="1"/>
      <name val="Times New Roman"/>
      <family val="1"/>
    </font>
    <font>
      <sz val="8"/>
      <color theme="1"/>
      <name val="Segoe UI"/>
      <family val="2"/>
    </font>
    <font>
      <b/>
      <sz val="16"/>
      <color theme="1"/>
      <name val="Times New Roman"/>
      <family val="1"/>
    </font>
    <font>
      <b/>
      <sz val="11"/>
      <color theme="1"/>
      <name val="Times New Roman"/>
      <family val="1"/>
    </font>
    <font>
      <b/>
      <sz val="16"/>
      <color theme="0"/>
      <name val="Times New Roman"/>
      <family val="1"/>
    </font>
  </fonts>
  <fills count="11">
    <fill>
      <patternFill patternType="none"/>
    </fill>
    <fill>
      <patternFill patternType="gray125"/>
    </fill>
    <fill>
      <patternFill patternType="solid">
        <fgColor theme="5" tint="-0.249977111117893"/>
        <bgColor indexed="64"/>
      </patternFill>
    </fill>
    <fill>
      <patternFill patternType="solid">
        <fgColor theme="3" tint="0.59999389629810485"/>
        <bgColor indexed="64"/>
      </patternFill>
    </fill>
    <fill>
      <patternFill patternType="solid">
        <fgColor theme="7" tint="0.39994506668294322"/>
        <bgColor indexed="64"/>
      </patternFill>
    </fill>
    <fill>
      <patternFill patternType="solid">
        <fgColor theme="5" tint="0.39994506668294322"/>
        <bgColor indexed="64"/>
      </patternFill>
    </fill>
    <fill>
      <patternFill patternType="solid">
        <fgColor theme="0"/>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4" tint="-0.249977111117893"/>
        <bgColor indexed="64"/>
      </patternFill>
    </fill>
    <fill>
      <patternFill patternType="solid">
        <fgColor theme="5" tint="0.39997558519241921"/>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9" fontId="5" fillId="0" borderId="0" applyFont="0" applyFill="0" applyBorder="0" applyAlignment="0" applyProtection="0"/>
    <xf numFmtId="43" fontId="5" fillId="0" borderId="0" applyFont="0" applyFill="0" applyBorder="0" applyAlignment="0" applyProtection="0"/>
  </cellStyleXfs>
  <cellXfs count="102">
    <xf numFmtId="0" fontId="0" fillId="0" borderId="0" xfId="0"/>
    <xf numFmtId="15" fontId="0" fillId="0" borderId="0" xfId="0" applyNumberFormat="1"/>
    <xf numFmtId="0" fontId="0" fillId="2" borderId="0" xfId="0" applyFill="1"/>
    <xf numFmtId="164" fontId="0" fillId="0" borderId="0" xfId="0" applyNumberFormat="1"/>
    <xf numFmtId="0" fontId="0" fillId="3" borderId="0" xfId="0" applyFill="1"/>
    <xf numFmtId="15" fontId="0" fillId="3" borderId="0" xfId="0" applyNumberFormat="1" applyFill="1"/>
    <xf numFmtId="165" fontId="0" fillId="0" borderId="0" xfId="0" applyNumberFormat="1"/>
    <xf numFmtId="14" fontId="0" fillId="0" borderId="0" xfId="0" applyNumberFormat="1"/>
    <xf numFmtId="0" fontId="0" fillId="0" borderId="0" xfId="0" applyAlignment="1">
      <alignment horizontal="left"/>
    </xf>
    <xf numFmtId="0" fontId="0" fillId="0" borderId="0" xfId="0" applyAlignment="1">
      <alignment horizontal="center"/>
    </xf>
    <xf numFmtId="0" fontId="2" fillId="4" borderId="1" xfId="0" applyFont="1" applyFill="1" applyBorder="1"/>
    <xf numFmtId="0" fontId="2" fillId="4" borderId="1" xfId="0" applyFont="1" applyFill="1" applyBorder="1" applyAlignment="1">
      <alignment horizontal="left"/>
    </xf>
    <xf numFmtId="0" fontId="2" fillId="4" borderId="1" xfId="0" applyFont="1" applyFill="1" applyBorder="1" applyAlignment="1">
      <alignment horizontal="center"/>
    </xf>
    <xf numFmtId="0" fontId="2" fillId="4" borderId="2" xfId="0" applyFont="1" applyFill="1" applyBorder="1" applyAlignment="1">
      <alignment horizontal="center"/>
    </xf>
    <xf numFmtId="0" fontId="0" fillId="3" borderId="1" xfId="0" applyFill="1" applyBorder="1"/>
    <xf numFmtId="0" fontId="0" fillId="0" borderId="1" xfId="0" applyBorder="1" applyAlignment="1">
      <alignment wrapText="1"/>
    </xf>
    <xf numFmtId="0" fontId="0" fillId="0" borderId="1" xfId="0" applyBorder="1" applyAlignment="1">
      <alignment horizontal="left"/>
    </xf>
    <xf numFmtId="0" fontId="0" fillId="0" borderId="1" xfId="0" applyBorder="1"/>
    <xf numFmtId="166" fontId="0" fillId="0" borderId="1" xfId="0" applyNumberFormat="1" applyBorder="1" applyAlignment="1">
      <alignment horizontal="center"/>
    </xf>
    <xf numFmtId="0" fontId="0" fillId="0" borderId="1" xfId="0" applyBorder="1" applyAlignment="1">
      <alignment horizontal="center"/>
    </xf>
    <xf numFmtId="1" fontId="0" fillId="0" borderId="2" xfId="0" applyNumberFormat="1" applyBorder="1" applyAlignment="1">
      <alignment horizontal="center"/>
    </xf>
    <xf numFmtId="0" fontId="0" fillId="5" borderId="0" xfId="0" applyFill="1"/>
    <xf numFmtId="0" fontId="0" fillId="5" borderId="0" xfId="0" applyFill="1" applyAlignment="1">
      <alignment horizontal="left"/>
    </xf>
    <xf numFmtId="15" fontId="0" fillId="5" borderId="0" xfId="0" applyNumberFormat="1" applyFill="1" applyAlignment="1">
      <alignment horizontal="center"/>
    </xf>
    <xf numFmtId="0" fontId="0" fillId="5" borderId="0" xfId="0" applyFill="1" applyAlignment="1">
      <alignment horizontal="center"/>
    </xf>
    <xf numFmtId="14" fontId="0" fillId="0" borderId="0" xfId="0" applyNumberFormat="1" applyAlignment="1">
      <alignment horizontal="center"/>
    </xf>
    <xf numFmtId="1" fontId="0" fillId="0" borderId="0" xfId="0" applyNumberFormat="1" applyAlignment="1">
      <alignment horizontal="center"/>
    </xf>
    <xf numFmtId="165" fontId="0" fillId="0" borderId="0" xfId="0" applyNumberFormat="1" applyAlignment="1">
      <alignment horizontal="center"/>
    </xf>
    <xf numFmtId="164" fontId="0" fillId="0" borderId="0" xfId="0" applyNumberFormat="1" applyAlignment="1">
      <alignment horizontal="center"/>
    </xf>
    <xf numFmtId="0" fontId="0" fillId="0" borderId="0" xfId="0" pivotButton="1"/>
    <xf numFmtId="167" fontId="0" fillId="0" borderId="0" xfId="0" applyNumberFormat="1"/>
    <xf numFmtId="167" fontId="0" fillId="0" borderId="0" xfId="0" applyNumberFormat="1" applyAlignment="1">
      <alignment horizontal="center"/>
    </xf>
    <xf numFmtId="168" fontId="0" fillId="0" borderId="0" xfId="0" applyNumberFormat="1"/>
    <xf numFmtId="1" fontId="0" fillId="0" borderId="0" xfId="0" applyNumberFormat="1"/>
    <xf numFmtId="1" fontId="0" fillId="0" borderId="0" xfId="0" applyNumberFormat="1" applyAlignment="1">
      <alignment horizontal="left"/>
    </xf>
    <xf numFmtId="0" fontId="6" fillId="6" borderId="0" xfId="0" applyFont="1" applyFill="1"/>
    <xf numFmtId="43" fontId="6" fillId="6" borderId="0" xfId="2" applyFont="1" applyFill="1"/>
    <xf numFmtId="0" fontId="4" fillId="5" borderId="0" xfId="0" applyFont="1" applyFill="1" applyAlignment="1">
      <alignment horizontal="center"/>
    </xf>
    <xf numFmtId="0" fontId="8" fillId="0" borderId="0" xfId="0" applyFont="1" applyAlignment="1">
      <alignment vertical="center"/>
    </xf>
    <xf numFmtId="0" fontId="0" fillId="0" borderId="3" xfId="0" applyBorder="1"/>
    <xf numFmtId="0" fontId="0" fillId="0" borderId="5" xfId="0" applyBorder="1"/>
    <xf numFmtId="0" fontId="0" fillId="0" borderId="6" xfId="0" applyBorder="1" applyAlignment="1">
      <alignment horizontal="center" vertical="center"/>
    </xf>
    <xf numFmtId="0" fontId="0" fillId="0" borderId="4" xfId="0" applyBorder="1" applyAlignment="1">
      <alignment horizontal="center" vertical="center"/>
    </xf>
    <xf numFmtId="165" fontId="0" fillId="0" borderId="6" xfId="0" applyNumberFormat="1" applyBorder="1" applyAlignment="1">
      <alignment horizontal="center" vertical="center"/>
    </xf>
    <xf numFmtId="1" fontId="0" fillId="0" borderId="6" xfId="0" applyNumberFormat="1" applyBorder="1" applyAlignment="1">
      <alignment horizontal="center" vertical="center"/>
    </xf>
    <xf numFmtId="2" fontId="0" fillId="0" borderId="6" xfId="0" applyNumberFormat="1" applyBorder="1" applyAlignment="1">
      <alignment horizontal="center" vertical="center"/>
    </xf>
    <xf numFmtId="0" fontId="6" fillId="8" borderId="0" xfId="0" applyFont="1" applyFill="1"/>
    <xf numFmtId="0" fontId="6" fillId="8" borderId="14" xfId="0" applyFont="1" applyFill="1" applyBorder="1" applyAlignment="1">
      <alignment horizontal="left" vertical="center" wrapText="1"/>
    </xf>
    <xf numFmtId="0" fontId="6" fillId="8" borderId="0" xfId="0" applyFont="1" applyFill="1" applyAlignment="1">
      <alignment horizontal="left" vertical="center" wrapText="1"/>
    </xf>
    <xf numFmtId="0" fontId="6" fillId="8" borderId="15" xfId="0" applyFont="1" applyFill="1" applyBorder="1" applyAlignment="1">
      <alignment horizontal="left" vertical="center" wrapText="1"/>
    </xf>
    <xf numFmtId="0" fontId="6" fillId="8" borderId="14" xfId="0" applyFont="1" applyFill="1" applyBorder="1" applyAlignment="1">
      <alignment horizontal="left" wrapText="1"/>
    </xf>
    <xf numFmtId="0" fontId="6" fillId="8" borderId="0" xfId="0" applyFont="1" applyFill="1" applyAlignment="1">
      <alignment horizontal="left" wrapText="1"/>
    </xf>
    <xf numFmtId="0" fontId="6" fillId="8" borderId="15" xfId="0" applyFont="1" applyFill="1" applyBorder="1" applyAlignment="1">
      <alignment horizontal="left" wrapText="1"/>
    </xf>
    <xf numFmtId="0" fontId="11" fillId="8" borderId="14" xfId="0" applyFont="1" applyFill="1" applyBorder="1" applyAlignment="1">
      <alignment horizontal="center" vertical="center"/>
    </xf>
    <xf numFmtId="0" fontId="11" fillId="8" borderId="0" xfId="0" applyFont="1" applyFill="1" applyAlignment="1">
      <alignment horizontal="center" vertical="center"/>
    </xf>
    <xf numFmtId="0" fontId="11" fillId="8" borderId="15" xfId="0" applyFont="1" applyFill="1" applyBorder="1" applyAlignment="1">
      <alignment horizontal="center" vertical="center"/>
    </xf>
    <xf numFmtId="0" fontId="9" fillId="8" borderId="14" xfId="0" applyFont="1" applyFill="1" applyBorder="1" applyAlignment="1">
      <alignment horizontal="center" vertical="center" wrapText="1"/>
    </xf>
    <xf numFmtId="0" fontId="9" fillId="8" borderId="0" xfId="0" applyFont="1" applyFill="1" applyAlignment="1">
      <alignment horizontal="center" vertical="center" wrapText="1"/>
    </xf>
    <xf numFmtId="0" fontId="9" fillId="8" borderId="15" xfId="0" applyFont="1" applyFill="1" applyBorder="1" applyAlignment="1">
      <alignment horizontal="center" vertical="center" wrapText="1"/>
    </xf>
    <xf numFmtId="0" fontId="6" fillId="8" borderId="14" xfId="0" applyFont="1" applyFill="1" applyBorder="1" applyAlignment="1">
      <alignment vertical="center" wrapText="1"/>
    </xf>
    <xf numFmtId="0" fontId="6" fillId="8" borderId="0" xfId="0" applyFont="1" applyFill="1" applyAlignment="1">
      <alignment vertical="center" wrapText="1"/>
    </xf>
    <xf numFmtId="0" fontId="6" fillId="8" borderId="15" xfId="0" applyFont="1" applyFill="1" applyBorder="1" applyAlignment="1">
      <alignment vertical="center" wrapText="1"/>
    </xf>
    <xf numFmtId="167" fontId="0" fillId="0" borderId="1" xfId="0" applyNumberFormat="1" applyBorder="1"/>
    <xf numFmtId="9" fontId="0" fillId="0" borderId="0" xfId="1" applyFont="1"/>
    <xf numFmtId="0" fontId="6" fillId="8" borderId="16" xfId="0" applyFont="1" applyFill="1" applyBorder="1" applyAlignment="1">
      <alignment horizontal="left" vertical="center" wrapText="1"/>
    </xf>
    <xf numFmtId="0" fontId="6" fillId="8" borderId="17" xfId="0" applyFont="1" applyFill="1" applyBorder="1" applyAlignment="1">
      <alignment horizontal="left" vertical="center" wrapText="1"/>
    </xf>
    <xf numFmtId="0" fontId="6" fillId="8" borderId="18" xfId="0" applyFont="1" applyFill="1" applyBorder="1" applyAlignment="1">
      <alignment horizontal="left" vertical="center" wrapText="1"/>
    </xf>
    <xf numFmtId="0" fontId="11" fillId="9" borderId="11" xfId="0" applyFont="1" applyFill="1" applyBorder="1" applyAlignment="1">
      <alignment horizontal="center" vertical="center"/>
    </xf>
    <xf numFmtId="0" fontId="11" fillId="9" borderId="12" xfId="0" applyFont="1" applyFill="1" applyBorder="1" applyAlignment="1">
      <alignment horizontal="center" vertical="center"/>
    </xf>
    <xf numFmtId="0" fontId="11" fillId="9" borderId="13" xfId="0" applyFont="1" applyFill="1" applyBorder="1" applyAlignment="1">
      <alignment horizontal="center" vertical="center"/>
    </xf>
    <xf numFmtId="0" fontId="11" fillId="9" borderId="14" xfId="0" applyFont="1" applyFill="1" applyBorder="1" applyAlignment="1">
      <alignment horizontal="center" vertical="center"/>
    </xf>
    <xf numFmtId="0" fontId="11" fillId="9" borderId="0" xfId="0" applyFont="1" applyFill="1" applyAlignment="1">
      <alignment horizontal="center" vertical="center"/>
    </xf>
    <xf numFmtId="0" fontId="11" fillId="9" borderId="15" xfId="0" applyFont="1" applyFill="1" applyBorder="1" applyAlignment="1">
      <alignment horizontal="center" vertical="center"/>
    </xf>
    <xf numFmtId="0" fontId="9" fillId="10" borderId="14" xfId="0" applyFont="1" applyFill="1" applyBorder="1" applyAlignment="1">
      <alignment horizontal="center" vertical="center" wrapText="1"/>
    </xf>
    <xf numFmtId="0" fontId="9" fillId="10" borderId="0" xfId="0" applyFont="1" applyFill="1" applyAlignment="1">
      <alignment horizontal="center" vertical="center" wrapText="1"/>
    </xf>
    <xf numFmtId="0" fontId="9" fillId="10" borderId="15" xfId="0" applyFont="1" applyFill="1" applyBorder="1" applyAlignment="1">
      <alignment horizontal="center" vertical="center" wrapText="1"/>
    </xf>
    <xf numFmtId="0" fontId="6" fillId="8" borderId="14" xfId="0" applyFont="1" applyFill="1" applyBorder="1" applyAlignment="1">
      <alignment vertical="center" wrapText="1"/>
    </xf>
    <xf numFmtId="0" fontId="6" fillId="8" borderId="0" xfId="0" applyFont="1" applyFill="1" applyAlignment="1">
      <alignment vertical="center" wrapText="1"/>
    </xf>
    <xf numFmtId="0" fontId="6" fillId="8" borderId="15" xfId="0" applyFont="1" applyFill="1" applyBorder="1" applyAlignment="1">
      <alignment vertical="center" wrapText="1"/>
    </xf>
    <xf numFmtId="0" fontId="6" fillId="8" borderId="14" xfId="0" applyFont="1" applyFill="1" applyBorder="1" applyAlignment="1">
      <alignment horizontal="left" vertical="center" wrapText="1"/>
    </xf>
    <xf numFmtId="0" fontId="6" fillId="8" borderId="0" xfId="0" applyFont="1" applyFill="1" applyAlignment="1">
      <alignment horizontal="left" vertical="center"/>
    </xf>
    <xf numFmtId="0" fontId="6" fillId="8" borderId="15" xfId="0" applyFont="1" applyFill="1" applyBorder="1" applyAlignment="1">
      <alignment horizontal="left" vertical="center"/>
    </xf>
    <xf numFmtId="0" fontId="6" fillId="8" borderId="14" xfId="0" applyFont="1" applyFill="1" applyBorder="1" applyAlignment="1">
      <alignment horizontal="left" vertical="center"/>
    </xf>
    <xf numFmtId="0" fontId="6" fillId="8" borderId="16" xfId="0" applyFont="1" applyFill="1" applyBorder="1" applyAlignment="1">
      <alignment horizontal="left" vertical="center"/>
    </xf>
    <xf numFmtId="0" fontId="6" fillId="8" borderId="17" xfId="0" applyFont="1" applyFill="1" applyBorder="1" applyAlignment="1">
      <alignment horizontal="left" vertical="center"/>
    </xf>
    <xf numFmtId="0" fontId="6" fillId="8" borderId="18" xfId="0" applyFont="1" applyFill="1" applyBorder="1" applyAlignment="1">
      <alignment horizontal="left" vertical="center"/>
    </xf>
    <xf numFmtId="0" fontId="6" fillId="8" borderId="14" xfId="0" applyFont="1" applyFill="1" applyBorder="1" applyAlignment="1">
      <alignment horizontal="left" wrapText="1"/>
    </xf>
    <xf numFmtId="0" fontId="6" fillId="8" borderId="0" xfId="0" applyFont="1" applyFill="1" applyAlignment="1">
      <alignment horizontal="left" wrapText="1"/>
    </xf>
    <xf numFmtId="0" fontId="6" fillId="8" borderId="15" xfId="0" applyFont="1" applyFill="1" applyBorder="1" applyAlignment="1">
      <alignment horizontal="left" wrapText="1"/>
    </xf>
    <xf numFmtId="0" fontId="6" fillId="8" borderId="0" xfId="0" applyFont="1" applyFill="1" applyAlignment="1">
      <alignment horizontal="left" vertical="center" wrapText="1"/>
    </xf>
    <xf numFmtId="0" fontId="6" fillId="8" borderId="15" xfId="0" applyFont="1" applyFill="1" applyBorder="1" applyAlignment="1">
      <alignment horizontal="left" vertical="center" wrapText="1"/>
    </xf>
    <xf numFmtId="9" fontId="7" fillId="6" borderId="0" xfId="1" applyFont="1" applyFill="1" applyAlignment="1">
      <alignment horizontal="center" vertical="center"/>
    </xf>
    <xf numFmtId="0" fontId="7" fillId="6" borderId="0" xfId="0" applyFont="1" applyFill="1" applyAlignment="1">
      <alignment horizontal="center" vertical="center"/>
    </xf>
    <xf numFmtId="168" fontId="7" fillId="6" borderId="0" xfId="0" applyNumberFormat="1" applyFont="1" applyFill="1" applyAlignment="1">
      <alignment horizontal="center" vertical="center"/>
    </xf>
    <xf numFmtId="169" fontId="7" fillId="6" borderId="0" xfId="0" applyNumberFormat="1" applyFont="1" applyFill="1" applyAlignment="1">
      <alignment horizontal="left" vertical="center"/>
    </xf>
    <xf numFmtId="0" fontId="1" fillId="0" borderId="0" xfId="0" applyFont="1" applyAlignment="1">
      <alignment horizont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0" fillId="0" borderId="6" xfId="0" applyBorder="1" applyAlignment="1">
      <alignment horizontal="center" vertical="center"/>
    </xf>
    <xf numFmtId="0" fontId="0" fillId="0" borderId="8" xfId="0" applyBorder="1" applyAlignment="1">
      <alignment horizontal="center" vertical="center"/>
    </xf>
    <xf numFmtId="0" fontId="1" fillId="7" borderId="9" xfId="0" applyFont="1" applyFill="1" applyBorder="1" applyAlignment="1">
      <alignment horizontal="center"/>
    </xf>
    <xf numFmtId="0" fontId="1" fillId="7" borderId="10" xfId="0" applyFont="1" applyFill="1" applyBorder="1" applyAlignment="1">
      <alignment horizontal="center"/>
    </xf>
  </cellXfs>
  <cellStyles count="3">
    <cellStyle name="Comma" xfId="2" builtinId="3"/>
    <cellStyle name="Normal" xfId="0" builtinId="0"/>
    <cellStyle name="Percent" xfId="1" builtinId="5"/>
  </cellStyles>
  <dxfs count="33">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numFmt numFmtId="164" formatCode="[$R-1C09]\ #,##0.00;[$R-1C09]\ \-#,##0.00"/>
    </dxf>
    <dxf>
      <numFmt numFmtId="164" formatCode="[$R-1C09]\ #,##0.00;[$R-1C09]\ \-#,##0.00"/>
    </dxf>
    <dxf>
      <numFmt numFmtId="170" formatCode="d\-mmm\-yy"/>
    </dxf>
    <dxf>
      <numFmt numFmtId="0" formatCode="General"/>
    </dxf>
    <dxf>
      <numFmt numFmtId="164" formatCode="[$R-1C09]\ #,##0.00;[$R-1C09]\ \-#,##0.00"/>
    </dxf>
    <dxf>
      <numFmt numFmtId="167" formatCode="_-[$$-409]* #,##0.00_ ;_-[$$-409]* \-#,##0.00\ ;_-[$$-409]* &quot;-&quot;??_ ;_-@_ "/>
      <alignment horizontal="center"/>
    </dxf>
    <dxf>
      <numFmt numFmtId="165" formatCode="[$R-1C09]#,##0.00"/>
      <alignment horizontal="center" vertical="bottom" textRotation="0" wrapText="0" indent="0" justifyLastLine="0" shrinkToFit="0" readingOrder="0"/>
    </dxf>
    <dxf>
      <numFmt numFmtId="167" formatCode="_-[$$-409]* #,##0.00_ ;_-[$$-409]* \-#,##0.00\ ;_-[$$-409]* &quot;-&quot;??_ ;_-@_ "/>
      <alignment horizontal="center"/>
    </dxf>
    <dxf>
      <numFmt numFmtId="1" formatCode="0"/>
      <alignment horizontal="center" vertical="bottom" textRotation="0" wrapText="0" indent="0" justifyLastLine="0" shrinkToFit="0" readingOrder="0"/>
    </dxf>
    <dxf>
      <numFmt numFmtId="1" formatCode="0"/>
      <alignment horizontal="center"/>
    </dxf>
    <dxf>
      <numFmt numFmtId="164" formatCode="[$R-1C09]\ #,##0.00;[$R-1C09]\ \-#,##0.00"/>
      <alignment horizontal="center" vertical="bottom" textRotation="0" wrapText="0" indent="0" justifyLastLine="0" shrinkToFit="0" readingOrder="0"/>
    </dxf>
    <dxf>
      <numFmt numFmtId="164" formatCode="[$R-1C09]\ #,##0.00;[$R-1C09]\ \-#,##0.00"/>
      <alignment horizontal="center"/>
    </dxf>
    <dxf>
      <numFmt numFmtId="164" formatCode="[$R-1C09]\ #,##0.00;[$R-1C09]\ \-#,##0.00"/>
      <alignment horizontal="center" vertical="bottom" textRotation="0" wrapText="0" indent="0" justifyLastLine="0" shrinkToFit="0" readingOrder="0"/>
    </dxf>
    <dxf>
      <numFmt numFmtId="164" formatCode="[$R-1C09]\ #,##0.00;[$R-1C09]\ \-#,##0.00"/>
      <alignment horizontal="center"/>
    </dxf>
    <dxf>
      <numFmt numFmtId="167" formatCode="_-[$$-409]* #,##0.00_ ;_-[$$-409]* \-#,##0.00\ ;_-[$$-409]* &quot;-&quot;??_ ;_-@_ "/>
    </dxf>
    <dxf>
      <numFmt numFmtId="167" formatCode="_-[$$-409]* #,##0.00_ ;_-[$$-409]* \-#,##0.00\ ;_-[$$-409]* &quot;-&quot;??_ ;_-@_ "/>
    </dxf>
    <dxf>
      <numFmt numFmtId="19" formatCode="dd/mm/yyyy"/>
      <alignment horizontal="center" vertical="bottom" textRotation="0" wrapText="0" indent="0" justifyLastLine="0" shrinkToFit="0" readingOrder="0"/>
    </dxf>
    <dxf>
      <numFmt numFmtId="19" formatCode="dd/mm/yyyy"/>
      <alignment horizontal="center"/>
    </dxf>
    <dxf>
      <alignment horizontal="left" vertical="bottom" textRotation="0" wrapText="0" indent="0" justifyLastLine="0" shrinkToFit="0" readingOrder="0"/>
    </dxf>
    <dxf>
      <alignment horizontal="left"/>
    </dxf>
    <dxf>
      <fill>
        <patternFill patternType="solid">
          <fgColor rgb="FF000000" tint="0.79995117038483843"/>
          <bgColor rgb="FF000000" tint="0.79995117038483843"/>
        </patternFill>
      </fill>
    </dxf>
    <dxf>
      <fill>
        <patternFill patternType="solid">
          <fgColor rgb="FF000000" tint="0.79995117038483843"/>
          <bgColor rgb="FF000000" tint="0.79995117038483843"/>
        </patternFill>
      </fill>
    </dxf>
    <dxf>
      <font>
        <b/>
        <color rgb="FF000000"/>
      </font>
    </dxf>
    <dxf>
      <font>
        <b/>
        <color rgb="FF000000"/>
      </font>
    </dxf>
    <dxf>
      <font>
        <b/>
        <color rgb="FF000000"/>
      </font>
      <border>
        <top style="double">
          <color rgb="FF000000"/>
        </top>
      </border>
    </dxf>
    <dxf>
      <font>
        <b/>
        <color rgb="FF000000"/>
      </font>
      <border>
        <bottom style="medium">
          <color rgb="FF000000"/>
        </bottom>
      </border>
    </dxf>
    <dxf>
      <font>
        <color rgb="FF000000"/>
      </font>
      <border>
        <left style="thin">
          <color rgb="FF000000"/>
        </left>
        <right style="thin">
          <color rgb="FF000000"/>
        </right>
        <top style="thin">
          <color rgb="FF000000"/>
        </top>
        <bottom style="thin">
          <color rgb="FF000000"/>
        </bottom>
        <vertical style="thin">
          <color rgb="FF000000" tint="0.39994506668294322"/>
        </vertical>
        <horizontal style="thin">
          <color rgb="FF000000" tint="0.39994506668294322"/>
        </horizontal>
      </border>
    </dxf>
  </dxfs>
  <tableStyles count="1" defaultTableStyle="TableStyleMedium2" defaultPivotStyle="PivotStyleLight16">
    <tableStyle name="TableStylePreset2_Dark" pivot="0" count="7" xr9:uid="{3E750325-DEEA-4B6D-BF6C-75CA4B610925}">
      <tableStyleElement type="wholeTable" dxfId="32"/>
      <tableStyleElement type="headerRow" dxfId="31"/>
      <tableStyleElement type="totalRow" dxfId="30"/>
      <tableStyleElement type="firstColumn" dxfId="29"/>
      <tableStyleElement type="lastColumn" dxfId="28"/>
      <tableStyleElement type="firstRowStripe" dxfId="27"/>
      <tableStyleElement type="firstColumnStripe" dxfId="26"/>
    </tableStyle>
  </tableStyles>
  <colors>
    <mruColors>
      <color rgb="FFDAE0D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[Nexora_Employee_Salary_Dashboard.xlsx]Pivots!Average_salary_per_department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b="1">
                <a:solidFill>
                  <a:schemeClr val="tx1"/>
                </a:solidFill>
                <a:latin typeface="Times New Roman" panose="02020603050405020304" pitchFamily="18" charset="0"/>
                <a:cs typeface="Times New Roman" panose="02020603050405020304" pitchFamily="18" charset="0"/>
              </a:rPr>
              <a:t>Average</a:t>
            </a:r>
            <a:r>
              <a:rPr lang="en-ZA" b="1" baseline="0">
                <a:solidFill>
                  <a:schemeClr val="tx1"/>
                </a:solidFill>
                <a:latin typeface="Times New Roman" panose="02020603050405020304" pitchFamily="18" charset="0"/>
                <a:cs typeface="Times New Roman" panose="02020603050405020304" pitchFamily="18" charset="0"/>
              </a:rPr>
              <a:t> Salary per Department</a:t>
            </a:r>
            <a:endParaRPr lang="en-ZA"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60000"/>
              <a:lumOff val="40000"/>
            </a:schemeClr>
          </a:solidFill>
          <a:ln w="12700">
            <a:solidFill>
              <a:schemeClr val="tx1"/>
            </a:solidFill>
          </a:ln>
          <a:effectLst>
            <a:outerShdw blurRad="50800" dist="12700" dir="5400000" sx="5000" sy="5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Pivots!$B$5:$B$6</c:f>
              <c:strCache>
                <c:ptCount val="1"/>
                <c:pt idx="0">
                  <c:v>Female</c:v>
                </c:pt>
              </c:strCache>
            </c:strRef>
          </c:tx>
          <c:spPr>
            <a:solidFill>
              <a:schemeClr val="accent2">
                <a:lumMod val="60000"/>
                <a:lumOff val="40000"/>
              </a:schemeClr>
            </a:solidFill>
            <a:ln w="12700">
              <a:solidFill>
                <a:schemeClr val="tx1"/>
              </a:solidFill>
            </a:ln>
            <a:effectLst>
              <a:outerShdw blurRad="50800" dist="12700" dir="5400000" sx="5000" sy="5000" algn="ctr" rotWithShape="0">
                <a:srgbClr val="000000">
                  <a:alpha val="43137"/>
                </a:srgbClr>
              </a:outerShdw>
            </a:effectLst>
          </c:spPr>
          <c:invertIfNegative val="0"/>
          <c:cat>
            <c:strRef>
              <c:f>Pivots!$A$7:$A$12</c:f>
              <c:strCache>
                <c:ptCount val="5"/>
                <c:pt idx="0">
                  <c:v>Finance</c:v>
                </c:pt>
                <c:pt idx="1">
                  <c:v>HR</c:v>
                </c:pt>
                <c:pt idx="2">
                  <c:v>Procurement</c:v>
                </c:pt>
                <c:pt idx="3">
                  <c:v>Sales</c:v>
                </c:pt>
                <c:pt idx="4">
                  <c:v>Website</c:v>
                </c:pt>
              </c:strCache>
            </c:strRef>
          </c:cat>
          <c:val>
            <c:numRef>
              <c:f>Pivots!$B$7:$B$12</c:f>
              <c:numCache>
                <c:formatCode>[$$-409]#,##0.00_ ;\-[$$-409]#,##0.00\ </c:formatCode>
                <c:ptCount val="5"/>
                <c:pt idx="0">
                  <c:v>73138.888888888891</c:v>
                </c:pt>
                <c:pt idx="1">
                  <c:v>94240</c:v>
                </c:pt>
                <c:pt idx="2">
                  <c:v>92236</c:v>
                </c:pt>
                <c:pt idx="3">
                  <c:v>72720</c:v>
                </c:pt>
                <c:pt idx="4">
                  <c:v>70989.28571428571</c:v>
                </c:pt>
              </c:numCache>
            </c:numRef>
          </c:val>
          <c:extLst>
            <c:ext xmlns:c16="http://schemas.microsoft.com/office/drawing/2014/chart" uri="{C3380CC4-5D6E-409C-BE32-E72D297353CC}">
              <c16:uniqueId val="{00000000-71E4-4F66-A3F3-160A3904B894}"/>
            </c:ext>
          </c:extLst>
        </c:ser>
        <c:ser>
          <c:idx val="1"/>
          <c:order val="1"/>
          <c:tx>
            <c:strRef>
              <c:f>Pivots!$C$5:$C$6</c:f>
              <c:strCache>
                <c:ptCount val="1"/>
                <c:pt idx="0">
                  <c:v>Male</c:v>
                </c:pt>
              </c:strCache>
            </c:strRef>
          </c:tx>
          <c:spPr>
            <a:solidFill>
              <a:schemeClr val="accent1">
                <a:lumMod val="75000"/>
              </a:schemeClr>
            </a:solidFill>
            <a:ln>
              <a:solidFill>
                <a:schemeClr val="tx1"/>
              </a:solidFill>
            </a:ln>
            <a:effectLst/>
          </c:spPr>
          <c:invertIfNegative val="0"/>
          <c:cat>
            <c:strRef>
              <c:f>Pivots!$A$7:$A$12</c:f>
              <c:strCache>
                <c:ptCount val="5"/>
                <c:pt idx="0">
                  <c:v>Finance</c:v>
                </c:pt>
                <c:pt idx="1">
                  <c:v>HR</c:v>
                </c:pt>
                <c:pt idx="2">
                  <c:v>Procurement</c:v>
                </c:pt>
                <c:pt idx="3">
                  <c:v>Sales</c:v>
                </c:pt>
                <c:pt idx="4">
                  <c:v>Website</c:v>
                </c:pt>
              </c:strCache>
            </c:strRef>
          </c:cat>
          <c:val>
            <c:numRef>
              <c:f>Pivots!$C$7:$C$12</c:f>
              <c:numCache>
                <c:formatCode>[$$-409]#,##0.00_ ;\-[$$-409]#,##0.00\ </c:formatCode>
                <c:ptCount val="5"/>
                <c:pt idx="0">
                  <c:v>67411.25</c:v>
                </c:pt>
                <c:pt idx="1">
                  <c:v>75880</c:v>
                </c:pt>
                <c:pt idx="2">
                  <c:v>75827.142857142855</c:v>
                </c:pt>
                <c:pt idx="3">
                  <c:v>63012.857142857145</c:v>
                </c:pt>
                <c:pt idx="4">
                  <c:v>86408.181818181823</c:v>
                </c:pt>
              </c:numCache>
            </c:numRef>
          </c:val>
          <c:extLst>
            <c:ext xmlns:c16="http://schemas.microsoft.com/office/drawing/2014/chart" uri="{C3380CC4-5D6E-409C-BE32-E72D297353CC}">
              <c16:uniqueId val="{00000001-71E4-4F66-A3F3-160A3904B894}"/>
            </c:ext>
          </c:extLst>
        </c:ser>
        <c:ser>
          <c:idx val="2"/>
          <c:order val="2"/>
          <c:tx>
            <c:strRef>
              <c:f>Pivots!$D$5:$D$6</c:f>
              <c:strCache>
                <c:ptCount val="1"/>
                <c:pt idx="0">
                  <c:v>Other</c:v>
                </c:pt>
              </c:strCache>
            </c:strRef>
          </c:tx>
          <c:spPr>
            <a:solidFill>
              <a:schemeClr val="accent3">
                <a:lumMod val="75000"/>
              </a:schemeClr>
            </a:solidFill>
            <a:ln>
              <a:solidFill>
                <a:schemeClr val="tx1"/>
              </a:solidFill>
            </a:ln>
            <a:effectLst/>
          </c:spPr>
          <c:invertIfNegative val="0"/>
          <c:cat>
            <c:strRef>
              <c:f>Pivots!$A$7:$A$12</c:f>
              <c:strCache>
                <c:ptCount val="5"/>
                <c:pt idx="0">
                  <c:v>Finance</c:v>
                </c:pt>
                <c:pt idx="1">
                  <c:v>HR</c:v>
                </c:pt>
                <c:pt idx="2">
                  <c:v>Procurement</c:v>
                </c:pt>
                <c:pt idx="3">
                  <c:v>Sales</c:v>
                </c:pt>
                <c:pt idx="4">
                  <c:v>Website</c:v>
                </c:pt>
              </c:strCache>
            </c:strRef>
          </c:cat>
          <c:val>
            <c:numRef>
              <c:f>Pivots!$D$7:$D$12</c:f>
              <c:numCache>
                <c:formatCode>[$$-409]#,##0.00_ ;\-[$$-409]#,##0.00\ </c:formatCode>
                <c:ptCount val="5"/>
                <c:pt idx="0">
                  <c:v>89720</c:v>
                </c:pt>
                <c:pt idx="4">
                  <c:v>91005</c:v>
                </c:pt>
              </c:numCache>
            </c:numRef>
          </c:val>
          <c:extLst>
            <c:ext xmlns:c16="http://schemas.microsoft.com/office/drawing/2014/chart" uri="{C3380CC4-5D6E-409C-BE32-E72D297353CC}">
              <c16:uniqueId val="{00000002-71E4-4F66-A3F3-160A3904B894}"/>
            </c:ext>
          </c:extLst>
        </c:ser>
        <c:dLbls>
          <c:showLegendKey val="0"/>
          <c:showVal val="0"/>
          <c:showCatName val="0"/>
          <c:showSerName val="0"/>
          <c:showPercent val="0"/>
          <c:showBubbleSize val="0"/>
        </c:dLbls>
        <c:gapWidth val="133"/>
        <c:overlap val="-5"/>
        <c:axId val="118833744"/>
        <c:axId val="118835184"/>
      </c:barChart>
      <c:catAx>
        <c:axId val="118833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18835184"/>
        <c:crosses val="autoZero"/>
        <c:auto val="1"/>
        <c:lblAlgn val="ctr"/>
        <c:lblOffset val="100"/>
        <c:noMultiLvlLbl val="0"/>
      </c:catAx>
      <c:valAx>
        <c:axId val="118835184"/>
        <c:scaling>
          <c:orientation val="minMax"/>
          <c:min val="35000"/>
        </c:scaling>
        <c:delete val="0"/>
        <c:axPos val="l"/>
        <c:numFmt formatCode="[$$-409]#,##0.00_ ;\-[$$-409]#,##0.00\ "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18833744"/>
        <c:crosses val="autoZero"/>
        <c:crossBetween val="between"/>
        <c:minorUnit val="4000"/>
      </c:valAx>
      <c:spPr>
        <a:noFill/>
        <a:ln cmpd="sng">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[Nexora_Employee_Salary_Dashboard.xlsx]Pivots!Average_salary_per_age</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Times New Roman" panose="02020603050405020304" pitchFamily="18" charset="0"/>
                <a:cs typeface="Times New Roman" panose="02020603050405020304" pitchFamily="18" charset="0"/>
              </a:rPr>
              <a:t>Average</a:t>
            </a:r>
            <a:r>
              <a:rPr lang="en-US" b="1" baseline="0">
                <a:solidFill>
                  <a:schemeClr val="tx1"/>
                </a:solidFill>
                <a:latin typeface="Times New Roman" panose="02020603050405020304" pitchFamily="18" charset="0"/>
                <a:cs typeface="Times New Roman" panose="02020603050405020304" pitchFamily="18" charset="0"/>
              </a:rPr>
              <a:t> Salary per age</a:t>
            </a:r>
            <a:endParaRPr lang="en-US"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5875" cap="rnd">
            <a:solidFill>
              <a:schemeClr val="tx1"/>
            </a:solidFill>
            <a:round/>
          </a:ln>
          <a:effectLst/>
        </c:spPr>
        <c:marker>
          <c:symbol val="circle"/>
          <c:size val="5"/>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15875" cap="rnd">
            <a:solidFill>
              <a:schemeClr val="tx1"/>
            </a:solidFill>
            <a:round/>
          </a:ln>
          <a:effectLst/>
        </c:spPr>
        <c:marker>
          <c:symbol val="circle"/>
          <c:size val="5"/>
          <c:spPr>
            <a:solidFill>
              <a:schemeClr val="tx1"/>
            </a:solidFill>
            <a:ln w="9525">
              <a:solidFill>
                <a:schemeClr val="tx1"/>
              </a:solidFill>
            </a:ln>
            <a:effectLst/>
          </c:spPr>
        </c:marker>
      </c:pivotFmt>
    </c:pivotFmts>
    <c:plotArea>
      <c:layout/>
      <c:lineChart>
        <c:grouping val="standard"/>
        <c:varyColors val="0"/>
        <c:ser>
          <c:idx val="0"/>
          <c:order val="0"/>
          <c:tx>
            <c:strRef>
              <c:f>Pivots!$H$5</c:f>
              <c:strCache>
                <c:ptCount val="1"/>
                <c:pt idx="0">
                  <c:v>Total</c:v>
                </c:pt>
              </c:strCache>
            </c:strRef>
          </c:tx>
          <c:spPr>
            <a:ln w="15875" cap="rnd">
              <a:solidFill>
                <a:schemeClr val="tx1"/>
              </a:solidFill>
              <a:round/>
            </a:ln>
            <a:effectLst/>
          </c:spPr>
          <c:marker>
            <c:symbol val="circle"/>
            <c:size val="5"/>
            <c:spPr>
              <a:solidFill>
                <a:schemeClr val="tx1"/>
              </a:solidFill>
              <a:ln w="9525">
                <a:solidFill>
                  <a:schemeClr val="tx1"/>
                </a:solidFill>
              </a:ln>
              <a:effectLst/>
            </c:spPr>
          </c:marker>
          <c:cat>
            <c:strRef>
              <c:f>Pivots!$G$6:$G$31</c:f>
              <c:strCache>
                <c:ptCount val="25"/>
                <c:pt idx="0">
                  <c:v>19</c:v>
                </c:pt>
                <c:pt idx="1">
                  <c:v>20</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40</c:v>
                </c:pt>
                <c:pt idx="21">
                  <c:v>42</c:v>
                </c:pt>
                <c:pt idx="22">
                  <c:v>43</c:v>
                </c:pt>
                <c:pt idx="23">
                  <c:v>44</c:v>
                </c:pt>
                <c:pt idx="24">
                  <c:v>46</c:v>
                </c:pt>
              </c:strCache>
            </c:strRef>
          </c:cat>
          <c:val>
            <c:numRef>
              <c:f>Pivots!$H$6:$H$31</c:f>
              <c:numCache>
                <c:formatCode>[$$-409]#,##0.00_ ;\-[$$-409]#,##0.00\ </c:formatCode>
                <c:ptCount val="25"/>
                <c:pt idx="0">
                  <c:v>58960</c:v>
                </c:pt>
                <c:pt idx="1">
                  <c:v>92205</c:v>
                </c:pt>
                <c:pt idx="2">
                  <c:v>54146</c:v>
                </c:pt>
                <c:pt idx="3">
                  <c:v>94840</c:v>
                </c:pt>
                <c:pt idx="4">
                  <c:v>106460</c:v>
                </c:pt>
                <c:pt idx="5">
                  <c:v>71936.666666666672</c:v>
                </c:pt>
                <c:pt idx="6">
                  <c:v>87072.5</c:v>
                </c:pt>
                <c:pt idx="7">
                  <c:v>58500</c:v>
                </c:pt>
                <c:pt idx="8">
                  <c:v>85706.153846153844</c:v>
                </c:pt>
                <c:pt idx="9">
                  <c:v>75678.571428571435</c:v>
                </c:pt>
                <c:pt idx="10">
                  <c:v>73545</c:v>
                </c:pt>
                <c:pt idx="11">
                  <c:v>80312.222222222219</c:v>
                </c:pt>
                <c:pt idx="12">
                  <c:v>63145</c:v>
                </c:pt>
                <c:pt idx="13">
                  <c:v>55154</c:v>
                </c:pt>
                <c:pt idx="14">
                  <c:v>75113</c:v>
                </c:pt>
                <c:pt idx="15">
                  <c:v>73177.272727272721</c:v>
                </c:pt>
                <c:pt idx="16">
                  <c:v>40400</c:v>
                </c:pt>
                <c:pt idx="17">
                  <c:v>92408</c:v>
                </c:pt>
                <c:pt idx="18">
                  <c:v>97665</c:v>
                </c:pt>
                <c:pt idx="19">
                  <c:v>83015</c:v>
                </c:pt>
                <c:pt idx="20">
                  <c:v>97260</c:v>
                </c:pt>
                <c:pt idx="21">
                  <c:v>72635</c:v>
                </c:pt>
                <c:pt idx="22">
                  <c:v>62316.666666666664</c:v>
                </c:pt>
                <c:pt idx="23">
                  <c:v>114870</c:v>
                </c:pt>
                <c:pt idx="24">
                  <c:v>70610</c:v>
                </c:pt>
              </c:numCache>
            </c:numRef>
          </c:val>
          <c:smooth val="0"/>
          <c:extLst>
            <c:ext xmlns:c16="http://schemas.microsoft.com/office/drawing/2014/chart" uri="{C3380CC4-5D6E-409C-BE32-E72D297353CC}">
              <c16:uniqueId val="{00000000-0021-4741-9E6D-43CE98853D88}"/>
            </c:ext>
          </c:extLst>
        </c:ser>
        <c:dLbls>
          <c:showLegendKey val="0"/>
          <c:showVal val="0"/>
          <c:showCatName val="0"/>
          <c:showSerName val="0"/>
          <c:showPercent val="0"/>
          <c:showBubbleSize val="0"/>
        </c:dLbls>
        <c:marker val="1"/>
        <c:smooth val="0"/>
        <c:axId val="151795152"/>
        <c:axId val="151794672"/>
      </c:lineChart>
      <c:catAx>
        <c:axId val="15179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51794672"/>
        <c:crosses val="autoZero"/>
        <c:auto val="0"/>
        <c:lblAlgn val="ctr"/>
        <c:lblOffset val="100"/>
        <c:noMultiLvlLbl val="0"/>
      </c:catAx>
      <c:valAx>
        <c:axId val="151794672"/>
        <c:scaling>
          <c:orientation val="minMax"/>
          <c:min val="30000"/>
        </c:scaling>
        <c:delete val="0"/>
        <c:axPos val="l"/>
        <c:numFmt formatCode="[$$-409]#,##0.00_ ;\-[$$-409]#,##0.00\ "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5179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[Nexora_Employee_Salary_Dashboard.xlsx]Pivots!Highest_earners</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baseline="0">
                <a:solidFill>
                  <a:schemeClr val="tx1"/>
                </a:solidFill>
                <a:latin typeface="Times New Roman" panose="02020603050405020304" pitchFamily="18" charset="0"/>
                <a:cs typeface="Times New Roman" panose="02020603050405020304" pitchFamily="18" charset="0"/>
              </a:rPr>
              <a:t>Top Earners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64586402410069"/>
          <c:y val="0.1644767815382211"/>
          <c:w val="0.77125239666808587"/>
          <c:h val="0.74036073694924331"/>
        </c:manualLayout>
      </c:layout>
      <c:barChart>
        <c:barDir val="bar"/>
        <c:grouping val="clustered"/>
        <c:varyColors val="0"/>
        <c:ser>
          <c:idx val="0"/>
          <c:order val="0"/>
          <c:tx>
            <c:strRef>
              <c:f>Pivots!$K$5</c:f>
              <c:strCache>
                <c:ptCount val="1"/>
                <c:pt idx="0">
                  <c:v>Total</c:v>
                </c:pt>
              </c:strCache>
            </c:strRef>
          </c:tx>
          <c:spPr>
            <a:solidFill>
              <a:schemeClr val="accent3">
                <a:lumMod val="75000"/>
              </a:schemeClr>
            </a:solidFill>
            <a:ln>
              <a:solidFill>
                <a:schemeClr val="tx1"/>
              </a:solidFill>
            </a:ln>
            <a:effectLst/>
            <a:sp3d>
              <a:contourClr>
                <a:schemeClr val="tx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Pivots!$J$6:$J$16</c:f>
              <c:strCache>
                <c:ptCount val="10"/>
                <c:pt idx="0">
                  <c:v>Benny Karolovsky</c:v>
                </c:pt>
                <c:pt idx="1">
                  <c:v>Sahila Chandrasekhar</c:v>
                </c:pt>
                <c:pt idx="2">
                  <c:v>Roddy Speechley</c:v>
                </c:pt>
                <c:pt idx="3">
                  <c:v>Sarayu Ragunathan</c:v>
                </c:pt>
                <c:pt idx="4">
                  <c:v>Kaishori Harathi Kateel</c:v>
                </c:pt>
                <c:pt idx="5">
                  <c:v>Valentia Etteridge</c:v>
                </c:pt>
                <c:pt idx="6">
                  <c:v>Heer Pennathur</c:v>
                </c:pt>
                <c:pt idx="7">
                  <c:v>Tawnya Tickel</c:v>
                </c:pt>
                <c:pt idx="8">
                  <c:v>Anjushri Chandiramani</c:v>
                </c:pt>
                <c:pt idx="9">
                  <c:v>Ewart Laphorn</c:v>
                </c:pt>
              </c:strCache>
            </c:strRef>
          </c:cat>
          <c:val>
            <c:numRef>
              <c:f>Pivots!$K$6:$K$16</c:f>
              <c:numCache>
                <c:formatCode>[$$-409]#,##0.00_ ;\-[$$-409]#,##0.00\ </c:formatCode>
                <c:ptCount val="10"/>
                <c:pt idx="0">
                  <c:v>115440</c:v>
                </c:pt>
                <c:pt idx="1">
                  <c:v>115440</c:v>
                </c:pt>
                <c:pt idx="2">
                  <c:v>115920</c:v>
                </c:pt>
                <c:pt idx="3">
                  <c:v>115920</c:v>
                </c:pt>
                <c:pt idx="4">
                  <c:v>118100</c:v>
                </c:pt>
                <c:pt idx="5">
                  <c:v>118100</c:v>
                </c:pt>
                <c:pt idx="6">
                  <c:v>118840</c:v>
                </c:pt>
                <c:pt idx="7">
                  <c:v>118840</c:v>
                </c:pt>
                <c:pt idx="8">
                  <c:v>119110</c:v>
                </c:pt>
                <c:pt idx="9">
                  <c:v>119110</c:v>
                </c:pt>
              </c:numCache>
            </c:numRef>
          </c:val>
          <c:extLst>
            <c:ext xmlns:c16="http://schemas.microsoft.com/office/drawing/2014/chart" uri="{C3380CC4-5D6E-409C-BE32-E72D297353CC}">
              <c16:uniqueId val="{00000000-6FA1-457E-8535-7DA50E4A31F4}"/>
            </c:ext>
          </c:extLst>
        </c:ser>
        <c:dLbls>
          <c:showLegendKey val="0"/>
          <c:showVal val="1"/>
          <c:showCatName val="0"/>
          <c:showSerName val="0"/>
          <c:showPercent val="0"/>
          <c:showBubbleSize val="0"/>
        </c:dLbls>
        <c:gapWidth val="66"/>
        <c:axId val="220948096"/>
        <c:axId val="220950496"/>
      </c:barChart>
      <c:catAx>
        <c:axId val="220948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220950496"/>
        <c:crosses val="autoZero"/>
        <c:auto val="1"/>
        <c:lblAlgn val="ctr"/>
        <c:lblOffset val="100"/>
        <c:noMultiLvlLbl val="0"/>
      </c:catAx>
      <c:valAx>
        <c:axId val="220950496"/>
        <c:scaling>
          <c:orientation val="minMax"/>
        </c:scaling>
        <c:delete val="1"/>
        <c:axPos val="b"/>
        <c:numFmt formatCode="[$$-409]#,##0.00_ ;\-[$$-409]#,##0.00\ " sourceLinked="1"/>
        <c:majorTickMark val="none"/>
        <c:minorTickMark val="none"/>
        <c:tickLblPos val="nextTo"/>
        <c:crossAx val="220948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[Nexora_Employee_Salary_Dashboard.xlsx]Pivots!Average_Salary_per_gender</c:name>
    <c:fmtId val="31"/>
  </c:pivotSource>
  <c:chart>
    <c:autoTitleDeleted val="1"/>
    <c:pivotFmts>
      <c:pivotFmt>
        <c:idx val="0"/>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9525">
            <a:solidFill>
              <a:schemeClr val="tx1"/>
            </a:solidFill>
          </a:ln>
          <a:effectLst/>
          <a:scene3d>
            <a:camera prst="orthographicFront"/>
            <a:lightRig rig="threePt" dir="t"/>
          </a:scene3d>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lumMod val="60000"/>
              <a:lumOff val="40000"/>
            </a:schemeClr>
          </a:solidFill>
          <a:ln w="9525">
            <a:solidFill>
              <a:schemeClr val="tx1"/>
            </a:solidFill>
          </a:ln>
          <a:effectLst/>
          <a:scene3d>
            <a:camera prst="orthographicFront"/>
            <a:lightRig rig="threePt" dir="t"/>
          </a:scene3d>
          <a:sp3d/>
        </c:spPr>
      </c:pivotFmt>
      <c:pivotFmt>
        <c:idx val="7"/>
        <c:spPr>
          <a:solidFill>
            <a:schemeClr val="accent1">
              <a:lumMod val="75000"/>
            </a:schemeClr>
          </a:solidFill>
          <a:ln w="9525">
            <a:solidFill>
              <a:schemeClr val="tx1"/>
            </a:solidFill>
          </a:ln>
          <a:effectLst/>
          <a:scene3d>
            <a:camera prst="orthographicFront"/>
            <a:lightRig rig="threePt" dir="t"/>
          </a:scene3d>
          <a:sp3d/>
        </c:spPr>
      </c:pivotFmt>
      <c:pivotFmt>
        <c:idx val="8"/>
        <c:spPr>
          <a:solidFill>
            <a:schemeClr val="accent3">
              <a:lumMod val="75000"/>
            </a:schemeClr>
          </a:solidFill>
          <a:ln w="9525">
            <a:solidFill>
              <a:schemeClr val="tx1"/>
            </a:solidFill>
          </a:ln>
          <a:effectLst/>
          <a:scene3d>
            <a:camera prst="orthographicFront"/>
            <a:lightRig rig="threePt" dir="t"/>
          </a:scene3d>
          <a:sp3d/>
        </c:spPr>
      </c:pivotFmt>
    </c:pivotFmts>
    <c:plotArea>
      <c:layout>
        <c:manualLayout>
          <c:layoutTarget val="inner"/>
          <c:xMode val="edge"/>
          <c:yMode val="edge"/>
          <c:x val="0.24744018255693884"/>
          <c:y val="0.11831204327876281"/>
          <c:w val="0.54383133910339632"/>
          <c:h val="0.77884615384615385"/>
        </c:manualLayout>
      </c:layout>
      <c:barChart>
        <c:barDir val="col"/>
        <c:grouping val="clustered"/>
        <c:varyColors val="0"/>
        <c:ser>
          <c:idx val="0"/>
          <c:order val="0"/>
          <c:tx>
            <c:strRef>
              <c:f>Pivots!$N$5</c:f>
              <c:strCache>
                <c:ptCount val="1"/>
                <c:pt idx="0">
                  <c:v>Total</c:v>
                </c:pt>
              </c:strCache>
            </c:strRef>
          </c:tx>
          <c:spPr>
            <a:solidFill>
              <a:schemeClr val="accent1"/>
            </a:solidFill>
            <a:ln w="9525">
              <a:solidFill>
                <a:schemeClr val="tx1"/>
              </a:solidFill>
            </a:ln>
            <a:effectLst/>
            <a:scene3d>
              <a:camera prst="orthographicFront"/>
              <a:lightRig rig="threePt" dir="t"/>
            </a:scene3d>
            <a:sp3d/>
          </c:spPr>
          <c:invertIfNegative val="0"/>
          <c:dPt>
            <c:idx val="0"/>
            <c:invertIfNegative val="0"/>
            <c:bubble3D val="0"/>
            <c:spPr>
              <a:solidFill>
                <a:schemeClr val="accent2">
                  <a:lumMod val="60000"/>
                  <a:lumOff val="40000"/>
                </a:schemeClr>
              </a:solidFill>
              <a:ln w="9525">
                <a:solidFill>
                  <a:schemeClr val="tx1"/>
                </a:solidFill>
              </a:ln>
              <a:effectLst/>
              <a:scene3d>
                <a:camera prst="orthographicFront"/>
                <a:lightRig rig="threePt" dir="t"/>
              </a:scene3d>
              <a:sp3d/>
            </c:spPr>
            <c:extLst>
              <c:ext xmlns:c16="http://schemas.microsoft.com/office/drawing/2014/chart" uri="{C3380CC4-5D6E-409C-BE32-E72D297353CC}">
                <c16:uniqueId val="{00000001-0675-4859-A858-C8FA81D64620}"/>
              </c:ext>
            </c:extLst>
          </c:dPt>
          <c:dPt>
            <c:idx val="1"/>
            <c:invertIfNegative val="0"/>
            <c:bubble3D val="0"/>
            <c:spPr>
              <a:solidFill>
                <a:schemeClr val="accent1">
                  <a:lumMod val="75000"/>
                </a:schemeClr>
              </a:solidFill>
              <a:ln w="9525">
                <a:solidFill>
                  <a:schemeClr val="tx1"/>
                </a:solidFill>
              </a:ln>
              <a:effectLst/>
              <a:scene3d>
                <a:camera prst="orthographicFront"/>
                <a:lightRig rig="threePt" dir="t"/>
              </a:scene3d>
              <a:sp3d/>
            </c:spPr>
            <c:extLst>
              <c:ext xmlns:c16="http://schemas.microsoft.com/office/drawing/2014/chart" uri="{C3380CC4-5D6E-409C-BE32-E72D297353CC}">
                <c16:uniqueId val="{00000003-0675-4859-A858-C8FA81D64620}"/>
              </c:ext>
            </c:extLst>
          </c:dPt>
          <c:dPt>
            <c:idx val="2"/>
            <c:invertIfNegative val="0"/>
            <c:bubble3D val="0"/>
            <c:spPr>
              <a:solidFill>
                <a:schemeClr val="accent3">
                  <a:lumMod val="75000"/>
                </a:schemeClr>
              </a:solidFill>
              <a:ln w="9525">
                <a:solidFill>
                  <a:schemeClr val="tx1"/>
                </a:solidFill>
              </a:ln>
              <a:effectLst/>
              <a:scene3d>
                <a:camera prst="orthographicFront"/>
                <a:lightRig rig="threePt" dir="t"/>
              </a:scene3d>
              <a:sp3d/>
            </c:spPr>
            <c:extLst>
              <c:ext xmlns:c16="http://schemas.microsoft.com/office/drawing/2014/chart" uri="{C3380CC4-5D6E-409C-BE32-E72D297353CC}">
                <c16:uniqueId val="{00000005-0675-4859-A858-C8FA81D64620}"/>
              </c:ext>
            </c:extLst>
          </c:dPt>
          <c:cat>
            <c:strRef>
              <c:f>Pivots!$M$6:$M$9</c:f>
              <c:strCache>
                <c:ptCount val="3"/>
                <c:pt idx="0">
                  <c:v>Female</c:v>
                </c:pt>
                <c:pt idx="1">
                  <c:v>Male</c:v>
                </c:pt>
                <c:pt idx="2">
                  <c:v>Other</c:v>
                </c:pt>
              </c:strCache>
            </c:strRef>
          </c:cat>
          <c:val>
            <c:numRef>
              <c:f>Pivots!$N$6:$N$9</c:f>
              <c:numCache>
                <c:formatCode>[$$-409]#,##0.00_ ;\-[$$-409]#,##0.00\ </c:formatCode>
                <c:ptCount val="3"/>
                <c:pt idx="0">
                  <c:v>78284.186046511633</c:v>
                </c:pt>
                <c:pt idx="1">
                  <c:v>74915.168539325838</c:v>
                </c:pt>
                <c:pt idx="2">
                  <c:v>90362.5</c:v>
                </c:pt>
              </c:numCache>
            </c:numRef>
          </c:val>
          <c:extLst>
            <c:ext xmlns:c16="http://schemas.microsoft.com/office/drawing/2014/chart" uri="{C3380CC4-5D6E-409C-BE32-E72D297353CC}">
              <c16:uniqueId val="{00000006-0675-4859-A858-C8FA81D64620}"/>
            </c:ext>
          </c:extLst>
        </c:ser>
        <c:dLbls>
          <c:showLegendKey val="0"/>
          <c:showVal val="0"/>
          <c:showCatName val="0"/>
          <c:showSerName val="0"/>
          <c:showPercent val="0"/>
          <c:showBubbleSize val="0"/>
        </c:dLbls>
        <c:gapWidth val="92"/>
        <c:axId val="968288255"/>
        <c:axId val="968289695"/>
      </c:barChart>
      <c:catAx>
        <c:axId val="96828825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68289695"/>
        <c:crosses val="autoZero"/>
        <c:auto val="1"/>
        <c:lblAlgn val="ctr"/>
        <c:lblOffset val="100"/>
        <c:noMultiLvlLbl val="0"/>
      </c:catAx>
      <c:valAx>
        <c:axId val="968289695"/>
        <c:scaling>
          <c:orientation val="minMax"/>
        </c:scaling>
        <c:delete val="0"/>
        <c:axPos val="l"/>
        <c:numFmt formatCode="[$$-409]#,##0.00_ ;\-[$$-409]#,##0.00\ "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968288255"/>
        <c:crosses val="autoZero"/>
        <c:crossBetween val="between"/>
      </c:valAx>
      <c:spPr>
        <a:noFill/>
        <a:ln>
          <a:noFill/>
        </a:ln>
        <a:effectLst/>
      </c:spPr>
    </c:plotArea>
    <c:legend>
      <c:legendPos val="r"/>
      <c:layout>
        <c:manualLayout>
          <c:xMode val="edge"/>
          <c:yMode val="edge"/>
          <c:x val="0.82485670927884136"/>
          <c:y val="0.55670813742706626"/>
          <c:w val="0.14566221075022767"/>
          <c:h val="0.3084355350365377"/>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[Nexora_Employee_Salary_Dashboard.xlsx]Pivots!Number_of_emplyees</c:name>
    <c:fmtId val="52"/>
  </c:pivotSource>
  <c:chart>
    <c:title>
      <c:tx>
        <c:rich>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latin typeface="Times New Roman" panose="02020603050405020304" pitchFamily="18" charset="0"/>
                <a:cs typeface="Times New Roman" panose="02020603050405020304" pitchFamily="18" charset="0"/>
              </a:rPr>
              <a:t>Number</a:t>
            </a:r>
            <a:r>
              <a:rPr lang="en-US" sz="1400" b="1" baseline="0">
                <a:solidFill>
                  <a:schemeClr val="tx1"/>
                </a:solidFill>
                <a:latin typeface="Times New Roman" panose="02020603050405020304" pitchFamily="18" charset="0"/>
                <a:cs typeface="Times New Roman" panose="02020603050405020304" pitchFamily="18" charset="0"/>
              </a:rPr>
              <a:t> of Emplyees</a:t>
            </a:r>
          </a:p>
        </c:rich>
      </c:tx>
      <c:layout>
        <c:manualLayout>
          <c:xMode val="edge"/>
          <c:yMode val="edge"/>
          <c:x val="0.23488416549087432"/>
          <c:y val="0"/>
        </c:manualLayout>
      </c:layout>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a:solidFill>
              <a:schemeClr val="accent1">
                <a:shade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w="28575">
            <a:solidFill>
              <a:schemeClr val="accent1">
                <a:shade val="15000"/>
              </a:schemeClr>
            </a:solidFill>
          </a:ln>
          <a:effectLst/>
        </c:spPr>
      </c:pivotFmt>
      <c:pivotFmt>
        <c:idx val="4"/>
        <c:spPr>
          <a:solidFill>
            <a:schemeClr val="accent3">
              <a:lumMod val="75000"/>
            </a:schemeClr>
          </a:solidFill>
          <a:ln w="28575">
            <a:solidFill>
              <a:schemeClr val="accent1">
                <a:shade val="15000"/>
              </a:schemeClr>
            </a:solidFill>
          </a:ln>
          <a:effectLst/>
        </c:spPr>
      </c:pivotFmt>
      <c:pivotFmt>
        <c:idx val="5"/>
        <c:spPr>
          <a:solidFill>
            <a:schemeClr val="accent1">
              <a:lumMod val="75000"/>
            </a:schemeClr>
          </a:solidFill>
          <a:ln w="28575">
            <a:solidFill>
              <a:schemeClr val="accent1">
                <a:shade val="15000"/>
              </a:schemeClr>
            </a:solidFill>
          </a:ln>
          <a:effectLst/>
        </c:spPr>
      </c:pivotFmt>
    </c:pivotFmts>
    <c:plotArea>
      <c:layout>
        <c:manualLayout>
          <c:layoutTarget val="inner"/>
          <c:xMode val="edge"/>
          <c:yMode val="edge"/>
          <c:x val="0.17222771932269526"/>
          <c:y val="0.20525492571347134"/>
          <c:w val="0.84619862307787441"/>
          <c:h val="0.51996479406420348"/>
        </c:manualLayout>
      </c:layout>
      <c:pieChart>
        <c:varyColors val="1"/>
        <c:ser>
          <c:idx val="0"/>
          <c:order val="0"/>
          <c:tx>
            <c:strRef>
              <c:f>Pivots!$Q$5</c:f>
              <c:strCache>
                <c:ptCount val="1"/>
                <c:pt idx="0">
                  <c:v>Total</c:v>
                </c:pt>
              </c:strCache>
            </c:strRef>
          </c:tx>
          <c:spPr>
            <a:ln w="28575">
              <a:solidFill>
                <a:schemeClr val="accent1">
                  <a:shade val="15000"/>
                </a:schemeClr>
              </a:solidFill>
            </a:ln>
          </c:spPr>
          <c:dPt>
            <c:idx val="0"/>
            <c:bubble3D val="0"/>
            <c:spPr>
              <a:solidFill>
                <a:schemeClr val="accent2">
                  <a:lumMod val="60000"/>
                  <a:lumOff val="40000"/>
                </a:schemeClr>
              </a:solidFill>
              <a:ln w="28575">
                <a:solidFill>
                  <a:schemeClr val="accent1">
                    <a:shade val="15000"/>
                  </a:schemeClr>
                </a:solidFill>
              </a:ln>
              <a:effectLst/>
            </c:spPr>
            <c:extLst>
              <c:ext xmlns:c16="http://schemas.microsoft.com/office/drawing/2014/chart" uri="{C3380CC4-5D6E-409C-BE32-E72D297353CC}">
                <c16:uniqueId val="{00000000-DCBC-4EED-A100-374E3EF315F8}"/>
              </c:ext>
            </c:extLst>
          </c:dPt>
          <c:dPt>
            <c:idx val="1"/>
            <c:bubble3D val="0"/>
            <c:spPr>
              <a:solidFill>
                <a:schemeClr val="accent1">
                  <a:lumMod val="75000"/>
                </a:schemeClr>
              </a:solidFill>
              <a:ln w="28575">
                <a:solidFill>
                  <a:schemeClr val="accent1">
                    <a:shade val="15000"/>
                  </a:schemeClr>
                </a:solidFill>
              </a:ln>
              <a:effectLst/>
            </c:spPr>
            <c:extLst>
              <c:ext xmlns:c16="http://schemas.microsoft.com/office/drawing/2014/chart" uri="{C3380CC4-5D6E-409C-BE32-E72D297353CC}">
                <c16:uniqueId val="{00000002-DCBC-4EED-A100-374E3EF315F8}"/>
              </c:ext>
            </c:extLst>
          </c:dPt>
          <c:dPt>
            <c:idx val="2"/>
            <c:bubble3D val="0"/>
            <c:spPr>
              <a:solidFill>
                <a:schemeClr val="accent3">
                  <a:lumMod val="75000"/>
                </a:schemeClr>
              </a:solidFill>
              <a:ln w="28575">
                <a:solidFill>
                  <a:schemeClr val="accent1">
                    <a:shade val="15000"/>
                  </a:schemeClr>
                </a:solidFill>
              </a:ln>
              <a:effectLst/>
            </c:spPr>
            <c:extLst>
              <c:ext xmlns:c16="http://schemas.microsoft.com/office/drawing/2014/chart" uri="{C3380CC4-5D6E-409C-BE32-E72D297353CC}">
                <c16:uniqueId val="{00000001-DCBC-4EED-A100-374E3EF315F8}"/>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Pivots!$P$6:$P$9</c:f>
              <c:strCache>
                <c:ptCount val="3"/>
                <c:pt idx="0">
                  <c:v>Female</c:v>
                </c:pt>
                <c:pt idx="1">
                  <c:v>Male</c:v>
                </c:pt>
                <c:pt idx="2">
                  <c:v>Other</c:v>
                </c:pt>
              </c:strCache>
            </c:strRef>
          </c:cat>
          <c:val>
            <c:numRef>
              <c:f>Pivots!$Q$6:$Q$9</c:f>
              <c:numCache>
                <c:formatCode>General</c:formatCode>
                <c:ptCount val="3"/>
                <c:pt idx="0">
                  <c:v>86</c:v>
                </c:pt>
                <c:pt idx="1">
                  <c:v>89</c:v>
                </c:pt>
                <c:pt idx="2">
                  <c:v>8</c:v>
                </c:pt>
              </c:numCache>
            </c:numRef>
          </c:val>
          <c:extLst>
            <c:ext xmlns:c16="http://schemas.microsoft.com/office/drawing/2014/chart" uri="{C3380CC4-5D6E-409C-BE32-E72D297353CC}">
              <c16:uniqueId val="{00000000-696C-4C84-9545-BCC9152391C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3.7394258239843915E-2"/>
          <c:y val="0.77991627177824496"/>
          <c:w val="0.8545934081248695"/>
          <c:h val="0.12809135283428938"/>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10.pn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21</xdr:col>
      <xdr:colOff>469899</xdr:colOff>
      <xdr:row>29</xdr:row>
      <xdr:rowOff>127000</xdr:rowOff>
    </xdr:from>
    <xdr:to>
      <xdr:col>26</xdr:col>
      <xdr:colOff>127000</xdr:colOff>
      <xdr:row>46</xdr:row>
      <xdr:rowOff>50800</xdr:rowOff>
    </xdr:to>
    <xdr:sp macro="" textlink="">
      <xdr:nvSpPr>
        <xdr:cNvPr id="16" name="Rectangle: Rounded Corners 15">
          <a:extLst>
            <a:ext uri="{FF2B5EF4-FFF2-40B4-BE49-F238E27FC236}">
              <a16:creationId xmlns:a16="http://schemas.microsoft.com/office/drawing/2014/main" id="{982DDF36-FFB7-AE3E-E80E-E2337EE3162B}"/>
            </a:ext>
          </a:extLst>
        </xdr:cNvPr>
        <xdr:cNvSpPr/>
      </xdr:nvSpPr>
      <xdr:spPr>
        <a:xfrm>
          <a:off x="14249399" y="5334000"/>
          <a:ext cx="2705101" cy="2946400"/>
        </a:xfrm>
        <a:prstGeom prst="roundRect">
          <a:avLst/>
        </a:prstGeom>
        <a:solidFill>
          <a:schemeClr val="bg1">
            <a:lumMod val="95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13</xdr:col>
      <xdr:colOff>209006</xdr:colOff>
      <xdr:row>29</xdr:row>
      <xdr:rowOff>114300</xdr:rowOff>
    </xdr:from>
    <xdr:to>
      <xdr:col>21</xdr:col>
      <xdr:colOff>272506</xdr:colOff>
      <xdr:row>46</xdr:row>
      <xdr:rowOff>86360</xdr:rowOff>
    </xdr:to>
    <xdr:sp macro="" textlink="">
      <xdr:nvSpPr>
        <xdr:cNvPr id="15" name="Rectangle: Rounded Corners 14">
          <a:extLst>
            <a:ext uri="{FF2B5EF4-FFF2-40B4-BE49-F238E27FC236}">
              <a16:creationId xmlns:a16="http://schemas.microsoft.com/office/drawing/2014/main" id="{6276A6AF-3FD1-3D1D-E8A9-ADF0C39FD567}"/>
            </a:ext>
          </a:extLst>
        </xdr:cNvPr>
        <xdr:cNvSpPr/>
      </xdr:nvSpPr>
      <xdr:spPr>
        <a:xfrm>
          <a:off x="8756106" y="5321300"/>
          <a:ext cx="5295900" cy="2994660"/>
        </a:xfrm>
        <a:prstGeom prst="roundRect">
          <a:avLst/>
        </a:prstGeom>
        <a:solidFill>
          <a:schemeClr val="bg1">
            <a:lumMod val="95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3</xdr:col>
      <xdr:colOff>25399</xdr:colOff>
      <xdr:row>29</xdr:row>
      <xdr:rowOff>88900</xdr:rowOff>
    </xdr:from>
    <xdr:to>
      <xdr:col>13</xdr:col>
      <xdr:colOff>41728</xdr:colOff>
      <xdr:row>46</xdr:row>
      <xdr:rowOff>139700</xdr:rowOff>
    </xdr:to>
    <xdr:sp macro="" textlink="">
      <xdr:nvSpPr>
        <xdr:cNvPr id="14" name="Rectangle: Rounded Corners 13">
          <a:extLst>
            <a:ext uri="{FF2B5EF4-FFF2-40B4-BE49-F238E27FC236}">
              <a16:creationId xmlns:a16="http://schemas.microsoft.com/office/drawing/2014/main" id="{3456A508-3EE4-67B3-E50E-CC02C51D2B67}"/>
            </a:ext>
          </a:extLst>
        </xdr:cNvPr>
        <xdr:cNvSpPr/>
      </xdr:nvSpPr>
      <xdr:spPr>
        <a:xfrm>
          <a:off x="2260599" y="5295900"/>
          <a:ext cx="6328229" cy="3073400"/>
        </a:xfrm>
        <a:prstGeom prst="roundRect">
          <a:avLst/>
        </a:prstGeom>
        <a:solidFill>
          <a:schemeClr val="bg1">
            <a:lumMod val="95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12</xdr:col>
      <xdr:colOff>200299</xdr:colOff>
      <xdr:row>11</xdr:row>
      <xdr:rowOff>127363</xdr:rowOff>
    </xdr:from>
    <xdr:to>
      <xdr:col>26</xdr:col>
      <xdr:colOff>127000</xdr:colOff>
      <xdr:row>28</xdr:row>
      <xdr:rowOff>145869</xdr:rowOff>
    </xdr:to>
    <xdr:sp macro="" textlink="">
      <xdr:nvSpPr>
        <xdr:cNvPr id="13" name="Rectangle: Rounded Corners 12">
          <a:extLst>
            <a:ext uri="{FF2B5EF4-FFF2-40B4-BE49-F238E27FC236}">
              <a16:creationId xmlns:a16="http://schemas.microsoft.com/office/drawing/2014/main" id="{32FB4FBB-D1CE-599B-03C4-0153D68643A6}"/>
            </a:ext>
          </a:extLst>
        </xdr:cNvPr>
        <xdr:cNvSpPr/>
      </xdr:nvSpPr>
      <xdr:spPr>
        <a:xfrm>
          <a:off x="8137799" y="2133963"/>
          <a:ext cx="8816701" cy="3041106"/>
        </a:xfrm>
        <a:prstGeom prst="roundRect">
          <a:avLst/>
        </a:prstGeom>
        <a:solidFill>
          <a:schemeClr val="bg1">
            <a:lumMod val="95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3</xdr:col>
      <xdr:colOff>38100</xdr:colOff>
      <xdr:row>11</xdr:row>
      <xdr:rowOff>119743</xdr:rowOff>
    </xdr:from>
    <xdr:to>
      <xdr:col>11</xdr:col>
      <xdr:colOff>566058</xdr:colOff>
      <xdr:row>28</xdr:row>
      <xdr:rowOff>130629</xdr:rowOff>
    </xdr:to>
    <xdr:sp macro="" textlink="">
      <xdr:nvSpPr>
        <xdr:cNvPr id="12" name="Rectangle: Rounded Corners 11">
          <a:extLst>
            <a:ext uri="{FF2B5EF4-FFF2-40B4-BE49-F238E27FC236}">
              <a16:creationId xmlns:a16="http://schemas.microsoft.com/office/drawing/2014/main" id="{836FD86A-21C6-471A-6E49-BD53B066B6F4}"/>
            </a:ext>
          </a:extLst>
        </xdr:cNvPr>
        <xdr:cNvSpPr/>
      </xdr:nvSpPr>
      <xdr:spPr>
        <a:xfrm>
          <a:off x="2273300" y="2075543"/>
          <a:ext cx="5404758" cy="3033486"/>
        </a:xfrm>
        <a:prstGeom prst="roundRect">
          <a:avLst/>
        </a:prstGeom>
        <a:solidFill>
          <a:schemeClr val="bg1">
            <a:lumMod val="95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85106</xdr:colOff>
      <xdr:row>0</xdr:row>
      <xdr:rowOff>137160</xdr:rowOff>
    </xdr:from>
    <xdr:to>
      <xdr:col>2</xdr:col>
      <xdr:colOff>945078</xdr:colOff>
      <xdr:row>46</xdr:row>
      <xdr:rowOff>155863</xdr:rowOff>
    </xdr:to>
    <xdr:sp macro="" textlink="">
      <xdr:nvSpPr>
        <xdr:cNvPr id="11" name="Rectangle: Rounded Corners 10">
          <a:extLst>
            <a:ext uri="{FF2B5EF4-FFF2-40B4-BE49-F238E27FC236}">
              <a16:creationId xmlns:a16="http://schemas.microsoft.com/office/drawing/2014/main" id="{AD1DB28D-5631-9876-734E-B932A9DD64D0}"/>
            </a:ext>
          </a:extLst>
        </xdr:cNvPr>
        <xdr:cNvSpPr/>
      </xdr:nvSpPr>
      <xdr:spPr>
        <a:xfrm>
          <a:off x="85106" y="137160"/>
          <a:ext cx="2079172" cy="8476903"/>
        </a:xfrm>
        <a:prstGeom prst="roundRect">
          <a:avLst/>
        </a:prstGeom>
        <a:solidFill>
          <a:schemeClr val="bg1">
            <a:lumMod val="95000"/>
          </a:schemeClr>
        </a:solidFill>
        <a:ln>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3</xdr:col>
      <xdr:colOff>304800</xdr:colOff>
      <xdr:row>12</xdr:row>
      <xdr:rowOff>0</xdr:rowOff>
    </xdr:from>
    <xdr:to>
      <xdr:col>11</xdr:col>
      <xdr:colOff>571500</xdr:colOff>
      <xdr:row>27</xdr:row>
      <xdr:rowOff>146412</xdr:rowOff>
    </xdr:to>
    <xdr:graphicFrame macro="">
      <xdr:nvGraphicFramePr>
        <xdr:cNvPr id="2" name="Chart 1">
          <a:extLst>
            <a:ext uri="{FF2B5EF4-FFF2-40B4-BE49-F238E27FC236}">
              <a16:creationId xmlns:a16="http://schemas.microsoft.com/office/drawing/2014/main" id="{49035175-C108-457D-9F15-2EBDEE1527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419100</xdr:colOff>
      <xdr:row>11</xdr:row>
      <xdr:rowOff>167369</xdr:rowOff>
    </xdr:from>
    <xdr:to>
      <xdr:col>26</xdr:col>
      <xdr:colOff>159658</xdr:colOff>
      <xdr:row>27</xdr:row>
      <xdr:rowOff>146958</xdr:rowOff>
    </xdr:to>
    <xdr:graphicFrame macro="">
      <xdr:nvGraphicFramePr>
        <xdr:cNvPr id="3" name="Chart 2">
          <a:extLst>
            <a:ext uri="{FF2B5EF4-FFF2-40B4-BE49-F238E27FC236}">
              <a16:creationId xmlns:a16="http://schemas.microsoft.com/office/drawing/2014/main" id="{D013BA98-E560-4456-93FA-1837C8F2BB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212634</xdr:colOff>
      <xdr:row>9</xdr:row>
      <xdr:rowOff>68220</xdr:rowOff>
    </xdr:from>
    <xdr:to>
      <xdr:col>2</xdr:col>
      <xdr:colOff>822234</xdr:colOff>
      <xdr:row>14</xdr:row>
      <xdr:rowOff>144237</xdr:rowOff>
    </xdr:to>
    <mc:AlternateContent xmlns:mc="http://schemas.openxmlformats.org/markup-compatibility/2006" xmlns:a14="http://schemas.microsoft.com/office/drawing/2010/main">
      <mc:Choice Requires="a14">
        <xdr:graphicFrame macro="">
          <xdr:nvGraphicFramePr>
            <xdr:cNvPr id="4" name="Area">
              <a:extLst>
                <a:ext uri="{FF2B5EF4-FFF2-40B4-BE49-F238E27FC236}">
                  <a16:creationId xmlns:a16="http://schemas.microsoft.com/office/drawing/2014/main" id="{454BE3D7-2739-473B-B913-036C3182ABC3}"/>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mlns="">
        <xdr:sp macro="" textlink="">
          <xdr:nvSpPr>
            <xdr:cNvPr id="0" name=""/>
            <xdr:cNvSpPr>
              <a:spLocks noTextEdit="1"/>
            </xdr:cNvSpPr>
          </xdr:nvSpPr>
          <xdr:spPr>
            <a:xfrm>
              <a:off x="212634" y="1668420"/>
              <a:ext cx="1828800" cy="101581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87087</xdr:colOff>
      <xdr:row>29</xdr:row>
      <xdr:rowOff>76201</xdr:rowOff>
    </xdr:from>
    <xdr:to>
      <xdr:col>13</xdr:col>
      <xdr:colOff>25400</xdr:colOff>
      <xdr:row>46</xdr:row>
      <xdr:rowOff>175987</xdr:rowOff>
    </xdr:to>
    <xdr:graphicFrame macro="">
      <xdr:nvGraphicFramePr>
        <xdr:cNvPr id="5" name="Chart 4">
          <a:extLst>
            <a:ext uri="{FF2B5EF4-FFF2-40B4-BE49-F238E27FC236}">
              <a16:creationId xmlns:a16="http://schemas.microsoft.com/office/drawing/2014/main" id="{8F9A24B9-4450-4BF9-B2C1-9CDE26E59A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50801</xdr:colOff>
      <xdr:row>30</xdr:row>
      <xdr:rowOff>93980</xdr:rowOff>
    </xdr:from>
    <xdr:to>
      <xdr:col>21</xdr:col>
      <xdr:colOff>195581</xdr:colOff>
      <xdr:row>46</xdr:row>
      <xdr:rowOff>73660</xdr:rowOff>
    </xdr:to>
    <xdr:graphicFrame macro="">
      <xdr:nvGraphicFramePr>
        <xdr:cNvPr id="6" name="Chart 5">
          <a:extLst>
            <a:ext uri="{FF2B5EF4-FFF2-40B4-BE49-F238E27FC236}">
              <a16:creationId xmlns:a16="http://schemas.microsoft.com/office/drawing/2014/main" id="{B9A1FBF3-0FF4-4360-BCB5-E03DBBF2C5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207191</xdr:colOff>
      <xdr:row>15</xdr:row>
      <xdr:rowOff>50801</xdr:rowOff>
    </xdr:from>
    <xdr:to>
      <xdr:col>2</xdr:col>
      <xdr:colOff>816791</xdr:colOff>
      <xdr:row>25</xdr:row>
      <xdr:rowOff>76201</xdr:rowOff>
    </xdr:to>
    <mc:AlternateContent xmlns:mc="http://schemas.openxmlformats.org/markup-compatibility/2006" xmlns:a14="http://schemas.microsoft.com/office/drawing/2010/main">
      <mc:Choice Requires="a14">
        <xdr:graphicFrame macro="">
          <xdr:nvGraphicFramePr>
            <xdr:cNvPr id="7" name="Department">
              <a:extLst>
                <a:ext uri="{FF2B5EF4-FFF2-40B4-BE49-F238E27FC236}">
                  <a16:creationId xmlns:a16="http://schemas.microsoft.com/office/drawing/2014/main" id="{138026AE-D120-4CEA-ABF4-646E9661BE7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07191" y="2768601"/>
              <a:ext cx="1828800" cy="18034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431800</xdr:colOff>
      <xdr:row>30</xdr:row>
      <xdr:rowOff>63500</xdr:rowOff>
    </xdr:from>
    <xdr:to>
      <xdr:col>26</xdr:col>
      <xdr:colOff>177800</xdr:colOff>
      <xdr:row>46</xdr:row>
      <xdr:rowOff>25400</xdr:rowOff>
    </xdr:to>
    <xdr:graphicFrame macro="">
      <xdr:nvGraphicFramePr>
        <xdr:cNvPr id="8" name="Chart 7">
          <a:extLst>
            <a:ext uri="{FF2B5EF4-FFF2-40B4-BE49-F238E27FC236}">
              <a16:creationId xmlns:a16="http://schemas.microsoft.com/office/drawing/2014/main" id="{765CABD1-D85B-4774-8A2F-6FAF700486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63500</xdr:colOff>
      <xdr:row>0</xdr:row>
      <xdr:rowOff>159657</xdr:rowOff>
    </xdr:from>
    <xdr:to>
      <xdr:col>26</xdr:col>
      <xdr:colOff>101600</xdr:colOff>
      <xdr:row>5</xdr:row>
      <xdr:rowOff>0</xdr:rowOff>
    </xdr:to>
    <xdr:sp macro="" textlink="">
      <xdr:nvSpPr>
        <xdr:cNvPr id="9" name="Rectangle: Rounded Corners 8">
          <a:extLst>
            <a:ext uri="{FF2B5EF4-FFF2-40B4-BE49-F238E27FC236}">
              <a16:creationId xmlns:a16="http://schemas.microsoft.com/office/drawing/2014/main" id="{D909E4E1-9621-DF68-B9ED-6AA2448892D7}"/>
            </a:ext>
          </a:extLst>
        </xdr:cNvPr>
        <xdr:cNvSpPr/>
      </xdr:nvSpPr>
      <xdr:spPr>
        <a:xfrm>
          <a:off x="2298700" y="159657"/>
          <a:ext cx="14058900" cy="729343"/>
        </a:xfrm>
        <a:prstGeom prst="roundRect">
          <a:avLst/>
        </a:prstGeom>
        <a:solidFill>
          <a:schemeClr val="bg1">
            <a:lumMod val="95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8</xdr:col>
      <xdr:colOff>571503</xdr:colOff>
      <xdr:row>0</xdr:row>
      <xdr:rowOff>103414</xdr:rowOff>
    </xdr:from>
    <xdr:to>
      <xdr:col>20</xdr:col>
      <xdr:colOff>127001</xdr:colOff>
      <xdr:row>5</xdr:row>
      <xdr:rowOff>152399</xdr:rowOff>
    </xdr:to>
    <xdr:sp macro="" textlink="">
      <xdr:nvSpPr>
        <xdr:cNvPr id="10" name="TextBox 9">
          <a:extLst>
            <a:ext uri="{FF2B5EF4-FFF2-40B4-BE49-F238E27FC236}">
              <a16:creationId xmlns:a16="http://schemas.microsoft.com/office/drawing/2014/main" id="{BA0571E5-6E26-F7B9-B641-6C367A4695D0}"/>
            </a:ext>
          </a:extLst>
        </xdr:cNvPr>
        <xdr:cNvSpPr txBox="1"/>
      </xdr:nvSpPr>
      <xdr:spPr>
        <a:xfrm>
          <a:off x="5854703" y="103414"/>
          <a:ext cx="7442198" cy="937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4800" b="0" i="0">
              <a:ln w="3175">
                <a:noFill/>
              </a:ln>
              <a:solidFill>
                <a:schemeClr val="tx1">
                  <a:lumMod val="85000"/>
                  <a:lumOff val="15000"/>
                </a:schemeClr>
              </a:solidFill>
              <a:effectLst>
                <a:innerShdw blurRad="63500" dist="50800" dir="10800000">
                  <a:prstClr val="black">
                    <a:alpha val="50000"/>
                  </a:prstClr>
                </a:innerShdw>
              </a:effectLst>
              <a:latin typeface="Times New Roman" panose="02020603050405020304" pitchFamily="18" charset="0"/>
              <a:cs typeface="Times New Roman" panose="02020603050405020304" pitchFamily="18" charset="0"/>
            </a:rPr>
            <a:t>Employee</a:t>
          </a:r>
          <a:r>
            <a:rPr lang="en-ZA" sz="4800" b="0" i="0" baseline="0">
              <a:ln w="3175">
                <a:noFill/>
              </a:ln>
              <a:solidFill>
                <a:schemeClr val="tx1">
                  <a:lumMod val="85000"/>
                  <a:lumOff val="15000"/>
                </a:schemeClr>
              </a:solidFill>
              <a:effectLst>
                <a:innerShdw blurRad="63500" dist="50800" dir="10800000">
                  <a:prstClr val="black">
                    <a:alpha val="50000"/>
                  </a:prstClr>
                </a:innerShdw>
              </a:effectLst>
              <a:latin typeface="Times New Roman" panose="02020603050405020304" pitchFamily="18" charset="0"/>
              <a:cs typeface="Times New Roman" panose="02020603050405020304" pitchFamily="18" charset="0"/>
            </a:rPr>
            <a:t> Salary Dashboard</a:t>
          </a:r>
          <a:endParaRPr lang="en-ZA" sz="4800" b="0" i="0">
            <a:ln w="3175">
              <a:noFill/>
            </a:ln>
            <a:solidFill>
              <a:schemeClr val="tx1">
                <a:lumMod val="85000"/>
                <a:lumOff val="15000"/>
              </a:schemeClr>
            </a:solidFill>
            <a:effectLst>
              <a:innerShdw blurRad="63500" dist="50800" dir="10800000">
                <a:prstClr val="black">
                  <a:alpha val="50000"/>
                </a:prstClr>
              </a:innerShdw>
            </a:effectLst>
            <a:latin typeface="Times New Roman" panose="02020603050405020304" pitchFamily="18" charset="0"/>
            <a:cs typeface="Times New Roman" panose="02020603050405020304" pitchFamily="18" charset="0"/>
          </a:endParaRPr>
        </a:p>
      </xdr:txBody>
    </xdr:sp>
    <xdr:clientData/>
  </xdr:twoCellAnchor>
  <xdr:twoCellAnchor>
    <xdr:from>
      <xdr:col>3</xdr:col>
      <xdr:colOff>50800</xdr:colOff>
      <xdr:row>5</xdr:row>
      <xdr:rowOff>139700</xdr:rowOff>
    </xdr:from>
    <xdr:to>
      <xdr:col>9</xdr:col>
      <xdr:colOff>584200</xdr:colOff>
      <xdr:row>10</xdr:row>
      <xdr:rowOff>127000</xdr:rowOff>
    </xdr:to>
    <xdr:sp macro="" textlink="">
      <xdr:nvSpPr>
        <xdr:cNvPr id="17" name="Rectangle: Rounded Corners 16">
          <a:extLst>
            <a:ext uri="{FF2B5EF4-FFF2-40B4-BE49-F238E27FC236}">
              <a16:creationId xmlns:a16="http://schemas.microsoft.com/office/drawing/2014/main" id="{AF7B4BC4-086C-55A8-D5AE-0C0584E8FF6F}"/>
            </a:ext>
          </a:extLst>
        </xdr:cNvPr>
        <xdr:cNvSpPr/>
      </xdr:nvSpPr>
      <xdr:spPr>
        <a:xfrm>
          <a:off x="2286000" y="1028700"/>
          <a:ext cx="4191000" cy="876300"/>
        </a:xfrm>
        <a:prstGeom prst="roundRect">
          <a:avLst/>
        </a:prstGeom>
        <a:no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165100</xdr:colOff>
      <xdr:row>5</xdr:row>
      <xdr:rowOff>139700</xdr:rowOff>
    </xdr:from>
    <xdr:to>
      <xdr:col>16</xdr:col>
      <xdr:colOff>38100</xdr:colOff>
      <xdr:row>10</xdr:row>
      <xdr:rowOff>127000</xdr:rowOff>
    </xdr:to>
    <xdr:sp macro="" textlink="">
      <xdr:nvSpPr>
        <xdr:cNvPr id="18" name="Rectangle: Rounded Corners 17">
          <a:extLst>
            <a:ext uri="{FF2B5EF4-FFF2-40B4-BE49-F238E27FC236}">
              <a16:creationId xmlns:a16="http://schemas.microsoft.com/office/drawing/2014/main" id="{4FEB7CF2-BC69-4C37-840B-FF88DE5B8343}"/>
            </a:ext>
          </a:extLst>
        </xdr:cNvPr>
        <xdr:cNvSpPr/>
      </xdr:nvSpPr>
      <xdr:spPr>
        <a:xfrm>
          <a:off x="6667500" y="1028700"/>
          <a:ext cx="3530600" cy="876300"/>
        </a:xfrm>
        <a:prstGeom prst="roundRect">
          <a:avLst/>
        </a:prstGeom>
        <a:no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16</xdr:col>
      <xdr:colOff>241300</xdr:colOff>
      <xdr:row>5</xdr:row>
      <xdr:rowOff>139700</xdr:rowOff>
    </xdr:from>
    <xdr:to>
      <xdr:col>20</xdr:col>
      <xdr:colOff>533400</xdr:colOff>
      <xdr:row>10</xdr:row>
      <xdr:rowOff>127000</xdr:rowOff>
    </xdr:to>
    <xdr:sp macro="" textlink="">
      <xdr:nvSpPr>
        <xdr:cNvPr id="19" name="Rectangle: Rounded Corners 18">
          <a:extLst>
            <a:ext uri="{FF2B5EF4-FFF2-40B4-BE49-F238E27FC236}">
              <a16:creationId xmlns:a16="http://schemas.microsoft.com/office/drawing/2014/main" id="{FDDC7A28-78DB-4AAB-855C-64F717704032}"/>
            </a:ext>
          </a:extLst>
        </xdr:cNvPr>
        <xdr:cNvSpPr/>
      </xdr:nvSpPr>
      <xdr:spPr>
        <a:xfrm>
          <a:off x="10401300" y="1028700"/>
          <a:ext cx="2730500" cy="876300"/>
        </a:xfrm>
        <a:prstGeom prst="roundRect">
          <a:avLst/>
        </a:prstGeom>
        <a:no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21</xdr:col>
      <xdr:colOff>177800</xdr:colOff>
      <xdr:row>5</xdr:row>
      <xdr:rowOff>101600</xdr:rowOff>
    </xdr:from>
    <xdr:to>
      <xdr:col>26</xdr:col>
      <xdr:colOff>114300</xdr:colOff>
      <xdr:row>10</xdr:row>
      <xdr:rowOff>139700</xdr:rowOff>
    </xdr:to>
    <xdr:sp macro="" textlink="">
      <xdr:nvSpPr>
        <xdr:cNvPr id="20" name="Rectangle: Rounded Corners 19">
          <a:extLst>
            <a:ext uri="{FF2B5EF4-FFF2-40B4-BE49-F238E27FC236}">
              <a16:creationId xmlns:a16="http://schemas.microsoft.com/office/drawing/2014/main" id="{DA60D19E-F4A6-4596-95BA-A26DE103A74B}"/>
            </a:ext>
          </a:extLst>
        </xdr:cNvPr>
        <xdr:cNvSpPr/>
      </xdr:nvSpPr>
      <xdr:spPr>
        <a:xfrm>
          <a:off x="13385800" y="990600"/>
          <a:ext cx="2984500" cy="927100"/>
        </a:xfrm>
        <a:prstGeom prst="roundRect">
          <a:avLst/>
        </a:prstGeom>
        <a:no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oneCellAnchor>
    <xdr:from>
      <xdr:col>3</xdr:col>
      <xdr:colOff>203200</xdr:colOff>
      <xdr:row>6</xdr:row>
      <xdr:rowOff>25401</xdr:rowOff>
    </xdr:from>
    <xdr:ext cx="3078596" cy="292100"/>
    <xdr:sp macro="" textlink="">
      <xdr:nvSpPr>
        <xdr:cNvPr id="21" name="TextBox 20">
          <a:extLst>
            <a:ext uri="{FF2B5EF4-FFF2-40B4-BE49-F238E27FC236}">
              <a16:creationId xmlns:a16="http://schemas.microsoft.com/office/drawing/2014/main" id="{85510EF3-941D-BB49-DBAA-B502D610B6AF}"/>
            </a:ext>
          </a:extLst>
        </xdr:cNvPr>
        <xdr:cNvSpPr txBox="1"/>
      </xdr:nvSpPr>
      <xdr:spPr>
        <a:xfrm>
          <a:off x="2428586" y="1116446"/>
          <a:ext cx="3078596" cy="292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ZA" sz="1600" b="1">
              <a:latin typeface="Times New Roman" panose="02020603050405020304" pitchFamily="18" charset="0"/>
              <a:cs typeface="Times New Roman" panose="02020603050405020304" pitchFamily="18" charset="0"/>
            </a:rPr>
            <a:t>Total</a:t>
          </a:r>
          <a:r>
            <a:rPr lang="en-ZA" sz="1600" b="1" baseline="0">
              <a:latin typeface="Times New Roman" panose="02020603050405020304" pitchFamily="18" charset="0"/>
              <a:cs typeface="Times New Roman" panose="02020603050405020304" pitchFamily="18" charset="0"/>
            </a:rPr>
            <a:t> Number of Employees:</a:t>
          </a:r>
        </a:p>
        <a:p>
          <a:endParaRPr lang="en-ZA" sz="1100" baseline="0"/>
        </a:p>
      </xdr:txBody>
    </xdr:sp>
    <xdr:clientData/>
  </xdr:oneCellAnchor>
  <xdr:oneCellAnchor>
    <xdr:from>
      <xdr:col>10</xdr:col>
      <xdr:colOff>0</xdr:colOff>
      <xdr:row>5</xdr:row>
      <xdr:rowOff>139700</xdr:rowOff>
    </xdr:from>
    <xdr:ext cx="2616200" cy="292100"/>
    <xdr:sp macro="" textlink="">
      <xdr:nvSpPr>
        <xdr:cNvPr id="23" name="TextBox 22">
          <a:extLst>
            <a:ext uri="{FF2B5EF4-FFF2-40B4-BE49-F238E27FC236}">
              <a16:creationId xmlns:a16="http://schemas.microsoft.com/office/drawing/2014/main" id="{77D22EC1-082F-43EF-B282-0ED92F34C380}"/>
            </a:ext>
          </a:extLst>
        </xdr:cNvPr>
        <xdr:cNvSpPr txBox="1"/>
      </xdr:nvSpPr>
      <xdr:spPr>
        <a:xfrm>
          <a:off x="6502400" y="1028700"/>
          <a:ext cx="2616200" cy="292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ZA" sz="1600" b="1" baseline="0">
              <a:latin typeface="Times New Roman" panose="02020603050405020304" pitchFamily="18" charset="0"/>
              <a:cs typeface="Times New Roman" panose="02020603050405020304" pitchFamily="18" charset="0"/>
            </a:rPr>
            <a:t> Sum of Salaries paid:</a:t>
          </a:r>
        </a:p>
        <a:p>
          <a:endParaRPr lang="en-ZA" sz="1100" baseline="0"/>
        </a:p>
      </xdr:txBody>
    </xdr:sp>
    <xdr:clientData/>
  </xdr:oneCellAnchor>
  <xdr:oneCellAnchor>
    <xdr:from>
      <xdr:col>16</xdr:col>
      <xdr:colOff>152400</xdr:colOff>
      <xdr:row>6</xdr:row>
      <xdr:rowOff>38100</xdr:rowOff>
    </xdr:from>
    <xdr:ext cx="1993900" cy="330200"/>
    <xdr:sp macro="" textlink="">
      <xdr:nvSpPr>
        <xdr:cNvPr id="32" name="TextBox 31">
          <a:extLst>
            <a:ext uri="{FF2B5EF4-FFF2-40B4-BE49-F238E27FC236}">
              <a16:creationId xmlns:a16="http://schemas.microsoft.com/office/drawing/2014/main" id="{5104197B-C77D-4887-A686-7FBB329392C1}"/>
            </a:ext>
          </a:extLst>
        </xdr:cNvPr>
        <xdr:cNvSpPr txBox="1"/>
      </xdr:nvSpPr>
      <xdr:spPr>
        <a:xfrm>
          <a:off x="10312400" y="1104900"/>
          <a:ext cx="1993900" cy="330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ZA" sz="1600" b="1" baseline="0"/>
            <a:t> </a:t>
          </a:r>
          <a:r>
            <a:rPr lang="en-ZA" sz="1600" b="1" baseline="0">
              <a:latin typeface="Times New Roman" panose="02020603050405020304" pitchFamily="18" charset="0"/>
              <a:cs typeface="Times New Roman" panose="02020603050405020304" pitchFamily="18" charset="0"/>
            </a:rPr>
            <a:t>Average Salary:</a:t>
          </a:r>
        </a:p>
        <a:p>
          <a:endParaRPr lang="en-ZA" sz="1100" baseline="0"/>
        </a:p>
      </xdr:txBody>
    </xdr:sp>
    <xdr:clientData/>
  </xdr:oneCellAnchor>
  <xdr:oneCellAnchor>
    <xdr:from>
      <xdr:col>21</xdr:col>
      <xdr:colOff>190500</xdr:colOff>
      <xdr:row>5</xdr:row>
      <xdr:rowOff>152400</xdr:rowOff>
    </xdr:from>
    <xdr:ext cx="1955800" cy="598714"/>
    <xdr:sp macro="" textlink="">
      <xdr:nvSpPr>
        <xdr:cNvPr id="35" name="TextBox 34">
          <a:extLst>
            <a:ext uri="{FF2B5EF4-FFF2-40B4-BE49-F238E27FC236}">
              <a16:creationId xmlns:a16="http://schemas.microsoft.com/office/drawing/2014/main" id="{224F88A1-CA0E-4E26-840F-D990F8DA8581}"/>
            </a:ext>
          </a:extLst>
        </xdr:cNvPr>
        <xdr:cNvSpPr txBox="1"/>
      </xdr:nvSpPr>
      <xdr:spPr>
        <a:xfrm>
          <a:off x="13971814" y="1077686"/>
          <a:ext cx="1955800" cy="5987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ZA" sz="1600" b="1" baseline="0">
              <a:latin typeface="Times New Roman" panose="02020603050405020304" pitchFamily="18" charset="0"/>
              <a:cs typeface="Times New Roman" panose="02020603050405020304" pitchFamily="18" charset="0"/>
            </a:rPr>
            <a:t> Employee % who</a:t>
          </a:r>
        </a:p>
        <a:p>
          <a:pPr algn="ctr"/>
          <a:r>
            <a:rPr lang="en-ZA" sz="1600" b="1" baseline="0">
              <a:latin typeface="Times New Roman" panose="02020603050405020304" pitchFamily="18" charset="0"/>
              <a:cs typeface="Times New Roman" panose="02020603050405020304" pitchFamily="18" charset="0"/>
            </a:rPr>
            <a:t> received bonuses:</a:t>
          </a:r>
        </a:p>
        <a:p>
          <a:endParaRPr lang="en-ZA" sz="1100" baseline="0"/>
        </a:p>
      </xdr:txBody>
    </xdr:sp>
    <xdr:clientData/>
  </xdr:oneCellAnchor>
  <xdr:twoCellAnchor editAs="oneCell">
    <xdr:from>
      <xdr:col>14</xdr:col>
      <xdr:colOff>174171</xdr:colOff>
      <xdr:row>6</xdr:row>
      <xdr:rowOff>76201</xdr:rowOff>
    </xdr:from>
    <xdr:to>
      <xdr:col>15</xdr:col>
      <xdr:colOff>250371</xdr:colOff>
      <xdr:row>10</xdr:row>
      <xdr:rowOff>1</xdr:rowOff>
    </xdr:to>
    <xdr:pic>
      <xdr:nvPicPr>
        <xdr:cNvPr id="25" name="Graphic 24">
          <a:extLst>
            <a:ext uri="{FF2B5EF4-FFF2-40B4-BE49-F238E27FC236}">
              <a16:creationId xmlns:a16="http://schemas.microsoft.com/office/drawing/2014/main" id="{69AE15A2-A269-1735-3389-FB15373CD69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329057" y="1186544"/>
          <a:ext cx="685800" cy="685800"/>
        </a:xfrm>
        <a:prstGeom prst="rect">
          <a:avLst/>
        </a:prstGeom>
      </xdr:spPr>
    </xdr:pic>
    <xdr:clientData/>
  </xdr:twoCellAnchor>
  <xdr:twoCellAnchor editAs="oneCell">
    <xdr:from>
      <xdr:col>19</xdr:col>
      <xdr:colOff>337458</xdr:colOff>
      <xdr:row>6</xdr:row>
      <xdr:rowOff>108857</xdr:rowOff>
    </xdr:from>
    <xdr:to>
      <xdr:col>20</xdr:col>
      <xdr:colOff>391885</xdr:colOff>
      <xdr:row>10</xdr:row>
      <xdr:rowOff>10884</xdr:rowOff>
    </xdr:to>
    <xdr:pic>
      <xdr:nvPicPr>
        <xdr:cNvPr id="27" name="Graphic 26">
          <a:extLst>
            <a:ext uri="{FF2B5EF4-FFF2-40B4-BE49-F238E27FC236}">
              <a16:creationId xmlns:a16="http://schemas.microsoft.com/office/drawing/2014/main" id="{897946AA-7799-FC74-4F2F-D1BF5903434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2322629" y="1219200"/>
          <a:ext cx="664027" cy="664027"/>
        </a:xfrm>
        <a:prstGeom prst="rect">
          <a:avLst/>
        </a:prstGeom>
      </xdr:spPr>
    </xdr:pic>
    <xdr:clientData/>
  </xdr:twoCellAnchor>
  <xdr:twoCellAnchor editAs="oneCell">
    <xdr:from>
      <xdr:col>24</xdr:col>
      <xdr:colOff>478971</xdr:colOff>
      <xdr:row>6</xdr:row>
      <xdr:rowOff>76199</xdr:rowOff>
    </xdr:from>
    <xdr:to>
      <xdr:col>25</xdr:col>
      <xdr:colOff>489857</xdr:colOff>
      <xdr:row>9</xdr:row>
      <xdr:rowOff>163285</xdr:rowOff>
    </xdr:to>
    <xdr:pic>
      <xdr:nvPicPr>
        <xdr:cNvPr id="29" name="Graphic 28">
          <a:extLst>
            <a:ext uri="{FF2B5EF4-FFF2-40B4-BE49-F238E27FC236}">
              <a16:creationId xmlns:a16="http://schemas.microsoft.com/office/drawing/2014/main" id="{B8B7BB2F-4F6C-197E-A8D4-37A773BA98E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5512142" y="1186542"/>
          <a:ext cx="620486" cy="620486"/>
        </a:xfrm>
        <a:prstGeom prst="rect">
          <a:avLst/>
        </a:prstGeom>
      </xdr:spPr>
    </xdr:pic>
    <xdr:clientData/>
  </xdr:twoCellAnchor>
  <xdr:twoCellAnchor editAs="oneCell">
    <xdr:from>
      <xdr:col>8</xdr:col>
      <xdr:colOff>241300</xdr:colOff>
      <xdr:row>6</xdr:row>
      <xdr:rowOff>38100</xdr:rowOff>
    </xdr:from>
    <xdr:to>
      <xdr:col>9</xdr:col>
      <xdr:colOff>304800</xdr:colOff>
      <xdr:row>9</xdr:row>
      <xdr:rowOff>206828</xdr:rowOff>
    </xdr:to>
    <xdr:pic>
      <xdr:nvPicPr>
        <xdr:cNvPr id="43" name="Graphic 42">
          <a:extLst>
            <a:ext uri="{FF2B5EF4-FFF2-40B4-BE49-F238E27FC236}">
              <a16:creationId xmlns:a16="http://schemas.microsoft.com/office/drawing/2014/main" id="{D655D4D3-7BF0-3BC9-A44C-0D137E5ADF9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524500" y="1104900"/>
          <a:ext cx="673100" cy="673100"/>
        </a:xfrm>
        <a:prstGeom prst="rect">
          <a:avLst/>
        </a:prstGeom>
      </xdr:spPr>
    </xdr:pic>
    <xdr:clientData/>
  </xdr:twoCellAnchor>
  <xdr:twoCellAnchor editAs="oneCell">
    <xdr:from>
      <xdr:col>3</xdr:col>
      <xdr:colOff>469900</xdr:colOff>
      <xdr:row>1</xdr:row>
      <xdr:rowOff>74256</xdr:rowOff>
    </xdr:from>
    <xdr:to>
      <xdr:col>6</xdr:col>
      <xdr:colOff>584200</xdr:colOff>
      <xdr:row>4</xdr:row>
      <xdr:rowOff>108857</xdr:rowOff>
    </xdr:to>
    <xdr:pic>
      <xdr:nvPicPr>
        <xdr:cNvPr id="45" name="Picture 44">
          <a:extLst>
            <a:ext uri="{FF2B5EF4-FFF2-40B4-BE49-F238E27FC236}">
              <a16:creationId xmlns:a16="http://schemas.microsoft.com/office/drawing/2014/main" id="{DCCA3CE1-1F1E-92E5-1A5F-F2BB0CD1B1B9}"/>
            </a:ext>
          </a:extLst>
        </xdr:cNvPr>
        <xdr:cNvPicPr>
          <a:picLocks noChangeAspect="1" noChangeArrowheads="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8160" t="30798" r="6770" b="33048"/>
        <a:stretch>
          <a:fillRect/>
        </a:stretch>
      </xdr:blipFill>
      <xdr:spPr bwMode="auto">
        <a:xfrm>
          <a:off x="2705100" y="252056"/>
          <a:ext cx="1943100" cy="535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420008</xdr:colOff>
      <xdr:row>1</xdr:row>
      <xdr:rowOff>57150</xdr:rowOff>
    </xdr:from>
    <xdr:to>
      <xdr:col>2</xdr:col>
      <xdr:colOff>584200</xdr:colOff>
      <xdr:row>9</xdr:row>
      <xdr:rowOff>26673</xdr:rowOff>
    </xdr:to>
    <xdr:pic>
      <xdr:nvPicPr>
        <xdr:cNvPr id="47" name="Picture 46">
          <a:extLst>
            <a:ext uri="{FF2B5EF4-FFF2-40B4-BE49-F238E27FC236}">
              <a16:creationId xmlns:a16="http://schemas.microsoft.com/office/drawing/2014/main" id="{8E12F675-6852-64C6-1D31-70917FA6A75B}"/>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21052" t="19564" r="19299" b="23445"/>
        <a:stretch>
          <a:fillRect/>
        </a:stretch>
      </xdr:blipFill>
      <xdr:spPr>
        <a:xfrm>
          <a:off x="420008" y="234950"/>
          <a:ext cx="1383392" cy="1391923"/>
        </a:xfrm>
        <a:prstGeom prst="rect">
          <a:avLst/>
        </a:prstGeom>
      </xdr:spPr>
    </xdr:pic>
    <xdr:clientData/>
  </xdr:twoCellAnchor>
  <xdr:twoCellAnchor>
    <xdr:from>
      <xdr:col>0</xdr:col>
      <xdr:colOff>76200</xdr:colOff>
      <xdr:row>25</xdr:row>
      <xdr:rowOff>148903</xdr:rowOff>
    </xdr:from>
    <xdr:to>
      <xdr:col>2</xdr:col>
      <xdr:colOff>889000</xdr:colOff>
      <xdr:row>39</xdr:row>
      <xdr:rowOff>76200</xdr:rowOff>
    </xdr:to>
    <xdr:sp macro="" textlink="">
      <xdr:nvSpPr>
        <xdr:cNvPr id="24" name="TextBox 23">
          <a:extLst>
            <a:ext uri="{FF2B5EF4-FFF2-40B4-BE49-F238E27FC236}">
              <a16:creationId xmlns:a16="http://schemas.microsoft.com/office/drawing/2014/main" id="{4A6C76BD-9BD0-5F93-D5A4-6571CCBA26A5}"/>
            </a:ext>
          </a:extLst>
        </xdr:cNvPr>
        <xdr:cNvSpPr txBox="1"/>
      </xdr:nvSpPr>
      <xdr:spPr>
        <a:xfrm>
          <a:off x="76200" y="4644703"/>
          <a:ext cx="2032000" cy="2416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100" b="1">
              <a:latin typeface="Times New Roman" panose="02020603050405020304" pitchFamily="18" charset="0"/>
              <a:cs typeface="Times New Roman" panose="02020603050405020304" pitchFamily="18" charset="0"/>
            </a:rPr>
            <a:t>Key Insights</a:t>
          </a:r>
        </a:p>
        <a:p>
          <a:endParaRPr lang="en-ZA" sz="1100">
            <a:latin typeface="Times New Roman" panose="02020603050405020304" pitchFamily="18" charset="0"/>
            <a:cs typeface="Times New Roman" panose="02020603050405020304" pitchFamily="18" charset="0"/>
          </a:endParaRPr>
        </a:p>
        <a:p>
          <a:r>
            <a:rPr lang="en-ZA" sz="1100">
              <a:latin typeface="Times New Roman" panose="02020603050405020304" pitchFamily="18" charset="0"/>
              <a:cs typeface="Times New Roman" panose="02020603050405020304" pitchFamily="18" charset="0"/>
            </a:rPr>
            <a:t>1. HR an Procurement have the highest average salaries.</a:t>
          </a:r>
        </a:p>
        <a:p>
          <a:endParaRPr lang="en-ZA" sz="1100">
            <a:latin typeface="Times New Roman" panose="02020603050405020304" pitchFamily="18" charset="0"/>
            <a:cs typeface="Times New Roman" panose="02020603050405020304" pitchFamily="18" charset="0"/>
          </a:endParaRPr>
        </a:p>
        <a:p>
          <a:r>
            <a:rPr lang="en-ZA" sz="1100">
              <a:latin typeface="Times New Roman" panose="02020603050405020304" pitchFamily="18" charset="0"/>
              <a:cs typeface="Times New Roman" panose="02020603050405020304" pitchFamily="18" charset="0"/>
            </a:rPr>
            <a:t>2. Salary</a:t>
          </a:r>
          <a:r>
            <a:rPr lang="en-ZA" sz="1100" baseline="0">
              <a:latin typeface="Times New Roman" panose="02020603050405020304" pitchFamily="18" charset="0"/>
              <a:cs typeface="Times New Roman" panose="02020603050405020304" pitchFamily="18" charset="0"/>
            </a:rPr>
            <a:t> peaks in the 40-45 age group.</a:t>
          </a:r>
        </a:p>
        <a:p>
          <a:endParaRPr lang="en-ZA" sz="1100" baseline="0">
            <a:latin typeface="Times New Roman" panose="02020603050405020304" pitchFamily="18" charset="0"/>
            <a:cs typeface="Times New Roman" panose="02020603050405020304" pitchFamily="18" charset="0"/>
          </a:endParaRPr>
        </a:p>
        <a:p>
          <a:r>
            <a:rPr lang="en-ZA" sz="1100" baseline="0">
              <a:latin typeface="Times New Roman" panose="02020603050405020304" pitchFamily="18" charset="0"/>
              <a:cs typeface="Times New Roman" panose="02020603050405020304" pitchFamily="18" charset="0"/>
            </a:rPr>
            <a:t>3. 98% of employees receive bonuses, indicating a strong incentive coverage.</a:t>
          </a:r>
        </a:p>
        <a:p>
          <a:endParaRPr lang="en-ZA" sz="1100" baseline="0">
            <a:latin typeface="Times New Roman" panose="02020603050405020304" pitchFamily="18" charset="0"/>
            <a:cs typeface="Times New Roman" panose="02020603050405020304" pitchFamily="18" charset="0"/>
          </a:endParaRPr>
        </a:p>
        <a:p>
          <a:r>
            <a:rPr lang="en-ZA" sz="1100" baseline="0">
              <a:latin typeface="Times New Roman" panose="02020603050405020304" pitchFamily="18" charset="0"/>
              <a:cs typeface="Times New Roman" panose="02020603050405020304" pitchFamily="18" charset="0"/>
            </a:rPr>
            <a:t>4. Female employees earn slightly higher than their male counterparts. </a:t>
          </a:r>
        </a:p>
        <a:p>
          <a:endParaRPr lang="en-ZA" sz="1100"/>
        </a:p>
      </xdr:txBody>
    </xdr:sp>
    <xdr:clientData/>
  </xdr:twoCellAnchor>
  <xdr:twoCellAnchor>
    <xdr:from>
      <xdr:col>4</xdr:col>
      <xdr:colOff>606135</xdr:colOff>
      <xdr:row>7</xdr:row>
      <xdr:rowOff>114300</xdr:rowOff>
    </xdr:from>
    <xdr:to>
      <xdr:col>6</xdr:col>
      <xdr:colOff>510886</xdr:colOff>
      <xdr:row>10</xdr:row>
      <xdr:rowOff>12700</xdr:rowOff>
    </xdr:to>
    <xdr:sp macro="" textlink="">
      <xdr:nvSpPr>
        <xdr:cNvPr id="22" name="TextBox 21">
          <a:extLst>
            <a:ext uri="{FF2B5EF4-FFF2-40B4-BE49-F238E27FC236}">
              <a16:creationId xmlns:a16="http://schemas.microsoft.com/office/drawing/2014/main" id="{51C518DC-9FDA-BAF8-13C4-069CCAB6D98A}"/>
            </a:ext>
          </a:extLst>
        </xdr:cNvPr>
        <xdr:cNvSpPr txBox="1"/>
      </xdr:nvSpPr>
      <xdr:spPr>
        <a:xfrm>
          <a:off x="3456015" y="1394460"/>
          <a:ext cx="1123951" cy="492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ZA" sz="2400" b="1">
            <a:latin typeface="Times New Roman" panose="02020603050405020304" pitchFamily="18" charset="0"/>
            <a:cs typeface="Times New Roman" panose="02020603050405020304" pitchFamily="18" charset="0"/>
          </a:endParaRPr>
        </a:p>
      </xdr:txBody>
    </xdr:sp>
    <xdr:clientData/>
  </xdr:twoCellAnchor>
  <xdr:twoCellAnchor>
    <xdr:from>
      <xdr:col>15</xdr:col>
      <xdr:colOff>457200</xdr:colOff>
      <xdr:row>29</xdr:row>
      <xdr:rowOff>165100</xdr:rowOff>
    </xdr:from>
    <xdr:to>
      <xdr:col>19</xdr:col>
      <xdr:colOff>533400</xdr:colOff>
      <xdr:row>31</xdr:row>
      <xdr:rowOff>127000</xdr:rowOff>
    </xdr:to>
    <xdr:sp macro="" textlink="">
      <xdr:nvSpPr>
        <xdr:cNvPr id="28" name="TextBox 27">
          <a:extLst>
            <a:ext uri="{FF2B5EF4-FFF2-40B4-BE49-F238E27FC236}">
              <a16:creationId xmlns:a16="http://schemas.microsoft.com/office/drawing/2014/main" id="{C5E5A8A9-8C83-6724-16F1-10B629171EC5}"/>
            </a:ext>
          </a:extLst>
        </xdr:cNvPr>
        <xdr:cNvSpPr txBox="1"/>
      </xdr:nvSpPr>
      <xdr:spPr>
        <a:xfrm>
          <a:off x="10223500" y="5372100"/>
          <a:ext cx="28702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400" b="1">
              <a:latin typeface="Times New Roman" panose="02020603050405020304" pitchFamily="18" charset="0"/>
              <a:cs typeface="Times New Roman" panose="02020603050405020304" pitchFamily="18" charset="0"/>
            </a:rPr>
            <a:t>Average</a:t>
          </a:r>
          <a:r>
            <a:rPr lang="en-ZA" sz="1400" b="1" baseline="0">
              <a:latin typeface="Times New Roman" panose="02020603050405020304" pitchFamily="18" charset="0"/>
              <a:cs typeface="Times New Roman" panose="02020603050405020304" pitchFamily="18" charset="0"/>
            </a:rPr>
            <a:t> Salary per Gender</a:t>
          </a:r>
          <a:endParaRPr lang="en-ZA" sz="1400" b="1">
            <a:latin typeface="Times New Roman" panose="02020603050405020304" pitchFamily="18" charset="0"/>
            <a:cs typeface="Times New Roman" panose="02020603050405020304" pitchFamily="18" charset="0"/>
          </a:endParaRPr>
        </a:p>
      </xdr:txBody>
    </xdr:sp>
    <xdr:clientData/>
  </xdr:twoCellAnchor>
  <xdr:twoCellAnchor>
    <xdr:from>
      <xdr:col>0</xdr:col>
      <xdr:colOff>88900</xdr:colOff>
      <xdr:row>39</xdr:row>
      <xdr:rowOff>165100</xdr:rowOff>
    </xdr:from>
    <xdr:to>
      <xdr:col>2</xdr:col>
      <xdr:colOff>850900</xdr:colOff>
      <xdr:row>45</xdr:row>
      <xdr:rowOff>25400</xdr:rowOff>
    </xdr:to>
    <xdr:sp macro="" textlink="">
      <xdr:nvSpPr>
        <xdr:cNvPr id="31" name="TextBox 30">
          <a:extLst>
            <a:ext uri="{FF2B5EF4-FFF2-40B4-BE49-F238E27FC236}">
              <a16:creationId xmlns:a16="http://schemas.microsoft.com/office/drawing/2014/main" id="{F6F254CD-D3CC-8586-EF3B-8A9628E68E93}"/>
            </a:ext>
          </a:extLst>
        </xdr:cNvPr>
        <xdr:cNvSpPr txBox="1"/>
      </xdr:nvSpPr>
      <xdr:spPr>
        <a:xfrm>
          <a:off x="88900" y="7150100"/>
          <a:ext cx="1981200" cy="927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1100" b="1">
              <a:latin typeface="Times New Roman" panose="02020603050405020304" pitchFamily="18" charset="0"/>
              <a:cs typeface="Times New Roman" panose="02020603050405020304" pitchFamily="18" charset="0"/>
            </a:rPr>
            <a:t>Action</a:t>
          </a:r>
          <a:r>
            <a:rPr lang="en-ZA" sz="1100" b="1" baseline="0">
              <a:latin typeface="Times New Roman" panose="02020603050405020304" pitchFamily="18" charset="0"/>
              <a:cs typeface="Times New Roman" panose="02020603050405020304" pitchFamily="18" charset="0"/>
            </a:rPr>
            <a:t> Items</a:t>
          </a:r>
        </a:p>
        <a:p>
          <a:endParaRPr lang="en-ZA" sz="1100" b="1" baseline="0">
            <a:latin typeface="Times New Roman" panose="02020603050405020304" pitchFamily="18" charset="0"/>
            <a:cs typeface="Times New Roman" panose="02020603050405020304" pitchFamily="18" charset="0"/>
          </a:endParaRPr>
        </a:p>
        <a:p>
          <a:r>
            <a:rPr lang="en-ZA" sz="1100" b="0" baseline="0">
              <a:latin typeface="Times New Roman" panose="02020603050405020304" pitchFamily="18" charset="0"/>
              <a:cs typeface="Times New Roman" panose="02020603050405020304" pitchFamily="18" charset="0"/>
            </a:rPr>
            <a:t>1. Review compensation structure for Procurement and HR roles.</a:t>
          </a:r>
          <a:endParaRPr lang="en-ZA" sz="1100" b="0">
            <a:latin typeface="Times New Roman" panose="02020603050405020304" pitchFamily="18" charset="0"/>
            <a:cs typeface="Times New Roman" panose="02020603050405020304" pitchFamily="18" charset="0"/>
          </a:endParaRPr>
        </a:p>
        <a:p>
          <a:endParaRPr lang="en-ZA" sz="1100" b="1">
            <a:latin typeface="Times New Roman" panose="02020603050405020304" pitchFamily="18" charset="0"/>
            <a:cs typeface="Times New Roman" panose="02020603050405020304" pitchFamily="18" charset="0"/>
          </a:endParaRPr>
        </a:p>
        <a:p>
          <a:endParaRPr lang="en-ZA" sz="1100" b="1">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y Kukosama" refreshedDate="46291.871456365741" createdVersion="8" refreshedVersion="8" minRefreshableVersion="3" recordCount="183" xr:uid="{F567EAA3-A763-4A7C-9306-96B3650F6CCA}">
  <cacheSource type="worksheet">
    <worksheetSource name="Employee_Details"/>
  </cacheSource>
  <cacheFields count="11">
    <cacheField name="Name" numFmtId="0">
      <sharedItems count="183">
        <s v="Lindy Guillet"/>
        <s v="Ambros Murthwaite"/>
        <s v="Tatum Hush"/>
        <s v="Benny Karolovsky"/>
        <s v="Hoyt D'Alesco"/>
        <s v="Halimeda Kuscha"/>
        <s v="Erin Androsik"/>
        <s v="Vic Radolf"/>
        <s v="William Reeveley"/>
        <s v="Ewart Laphorn"/>
        <s v="Bev Lashley"/>
        <s v="Kath Bletsoe"/>
        <s v="Murry Dryburgh"/>
        <s v="Kaine Padly"/>
        <s v="Kassi Jonson"/>
        <s v="Simon Kembery"/>
        <s v="Orton Livick"/>
        <s v="Kelci Walkden"/>
        <s v="Dotty Strutley"/>
        <s v="Shari McNee"/>
        <s v="Oby Sorrel"/>
        <s v="Husein Augar"/>
        <s v="Brien Boise"/>
        <s v="Esmaria Denecamp"/>
        <s v="Curtice Advani"/>
        <s v="Barr Faughny"/>
        <s v="Merrilee Plenty"/>
        <s v="Niall Selesnick"/>
        <s v="Beverie Moffet"/>
        <s v="Jehu Rudeforth"/>
        <s v="Camilla Castle"/>
        <s v="Roddy Speechley"/>
        <s v="Gray Seamon"/>
        <s v="Madelene Upcott"/>
        <s v="Violante Courtonne"/>
        <s v="Bernie Gorges"/>
        <s v="Torrance Collier"/>
        <s v="Dyna Doucette"/>
        <s v="Gunar Cockshoot"/>
        <s v="Kaye Crocroft"/>
        <s v="Allene Gobbet"/>
        <s v="Sibyl Dunkirk"/>
        <s v="Agnes Collicott"/>
        <s v="Leilah Yesinin"/>
        <s v="Mollie Hanway"/>
        <s v="Kellsie Waby"/>
        <s v="Hyacinthie Braybrooke"/>
        <s v="Van Tuxwell"/>
        <s v="Lilyan Klimpt"/>
        <s v="Tawnya Tickel"/>
        <s v="Jan Morforth"/>
        <s v="Florinda Crace"/>
        <s v="Tracy Renad"/>
        <s v="Myer McCory"/>
        <s v="Bennie Pepis"/>
        <s v="Rafaelita Blaksland"/>
        <s v="Mahalia Larcher"/>
        <s v="Andria Kimpton"/>
        <s v="Valentia Etteridge"/>
        <s v="Virginia McConville"/>
        <s v="Wilone O'Kielt"/>
        <s v="Madge McCloughen"/>
        <s v="Janene Hairsine"/>
        <s v="Alta Kaszper"/>
        <s v="Dennison Crosswaite"/>
        <s v="Oran Buxcy"/>
        <s v="Hinda Label"/>
        <s v="Marney O'Breen"/>
        <s v="Dell Molloy"/>
        <s v="Mallorie Waber"/>
        <s v="Cherlyn Barter"/>
        <s v="Ches Bonnell"/>
        <s v="Collin Jagson"/>
        <s v="Hogan Iles"/>
        <s v="Gretchen Callow"/>
        <s v="Kissiah Maydway"/>
        <s v="Archibald Filliskirk"/>
        <s v="Enoch Dowrey"/>
        <s v="Bili Sizey"/>
        <s v="Caro Chappel"/>
        <s v="Constantino Espley"/>
        <s v="Karlen McCaffrey"/>
        <s v="Drusy MacCombe"/>
        <s v="My Hanscome"/>
        <s v="Teressa Udden"/>
        <s v="Crissie Cordel"/>
        <s v="Elia Cockton"/>
        <s v="Gigi Bohling"/>
        <s v="Ebonee Roxburgh"/>
        <s v="Shayne Stegel"/>
        <s v="Zach Polon"/>
        <s v="Amal Nimesh"/>
        <s v="Amlankusum Rajabhushan"/>
        <s v="Satyendra Venkatadri"/>
        <s v="Madhavdas Buhpathi"/>
        <s v="Sahila Chandrasekhar"/>
        <s v="Mirium Seemantini Shivakumar"/>
        <s v="Purnendu Vijayarangan"/>
        <s v="Ayog Chakrabarti"/>
        <s v="Yauvani Tarpa"/>
        <s v="Damayanti Thangavadivelu"/>
        <s v="Bhuvan Pals"/>
        <s v="Mithil Nadkarni"/>
        <s v="Ardhendu Abhichandra Jayakar"/>
        <s v="Akbar Sorabhjee"/>
        <s v="Bandhula Sathyanna"/>
        <s v="Daruka Ghazali"/>
        <s v="Deepali Charan"/>
        <s v="Fullara Sushanti Mokate"/>
        <s v="Udyan Lanka"/>
        <s v="Shreela Ramasubraman"/>
        <s v="Sanchali Shirish"/>
        <s v="Gangadutt Ragha"/>
        <s v="Waheeda Vasuman"/>
        <s v="Nanak Sapna"/>
        <s v="Shobhana Samuel"/>
        <s v="Godavari Veena"/>
        <s v="Heer Pennathur"/>
        <s v="Hemavati Muthiah"/>
        <s v="Prerana Nishita"/>
        <s v="Makshi Vinutha"/>
        <s v="Shiuli Sapna"/>
        <s v="Agrata Rajarama"/>
        <s v="Vasu Nandin"/>
        <s v="Hridaynath Tendulkar"/>
        <s v="Gumwant Veera"/>
        <s v="Jagajeet Viraj"/>
        <s v="Anjushri Chandiramani"/>
        <s v="Krishnakanta Vellanki"/>
        <s v="Dhruv Manjunath"/>
        <s v="Vanmala Shriharsha"/>
        <s v="Sameer Shashank Sapra"/>
        <s v="Anumati Shyamari Meherhomji"/>
        <s v="Tarala Vishaal"/>
        <s v="Jaishree Atasi Yavatkar"/>
        <s v="Karuna Pashupathy"/>
        <s v="Krittika Gaekwad"/>
        <s v="Shevantilal Muppala"/>
        <s v="Shattesh Utpat"/>
        <s v="Kamalakshi Mukundan"/>
        <s v="Chandana Sannidhi Surnilla"/>
        <s v="Indu Varada Sumedh"/>
        <s v="Kunja Prashanta Vibha"/>
        <s v="Mardav Ramaswami"/>
        <s v="Sarayu Ragunathan"/>
        <s v="Kevalkumar Solanki"/>
        <s v="Upendra Swati"/>
        <s v="Deepit Ranjana"/>
        <s v="Manjusri Ruchi"/>
        <s v="Narois Motiwala"/>
        <s v="Pragya Nilufar"/>
        <s v="Devasree Fullara Saurin"/>
        <s v="Geena Raghavanpillai"/>
        <s v="Rupak Mehra"/>
        <s v="Sawini Chandan"/>
        <s v="Baruna Ogale"/>
        <s v="Pratigya Rema"/>
        <s v="Kulbhushan Moorthy"/>
        <s v="Ilesh Dasgupta"/>
        <s v="Madhumati Gazala Soumitra"/>
        <s v="Chitrasen Laul"/>
        <s v="Rameshwari Chikodi"/>
        <s v="Kantimoy Pritish"/>
        <s v="Ramnath Ravuri"/>
        <s v="Lalit Kothari"/>
        <s v="Sahas Sanabhi Shrikant"/>
        <s v="Kaishori Harathi Kateel"/>
        <s v="Rushil Kripa"/>
        <s v="Sarojini Naueshwara"/>
        <s v="Sartaj Probal"/>
        <s v="Mahindra Sreedharan"/>
        <s v="Rukma Vinita"/>
        <s v="Shekhar Eswara"/>
        <s v="Shubhra Potla"/>
        <s v="Abhaya Priyavardhan"/>
        <s v="Suchira Bhanupriya Tapti"/>
        <s v="Sukhdev Nageshwar"/>
        <s v="Shulabh Qutub Sundaramoorthy"/>
        <s v="Vinanti Choudhari"/>
        <s v="Ranajay Kailashnath Richa"/>
        <s v="Asija Pothireddy"/>
        <s v="Piyali Mahanthapa"/>
        <s v="Yagna Sujeev"/>
      </sharedItems>
    </cacheField>
    <cacheField name="Gender" numFmtId="0">
      <sharedItems count="3">
        <s v="Male"/>
        <s v="Female"/>
        <s v="Other"/>
      </sharedItems>
    </cacheField>
    <cacheField name="Department" numFmtId="0">
      <sharedItems count="5">
        <s v="Sales"/>
        <s v="Procurement"/>
        <s v="Finance"/>
        <s v="Website"/>
        <s v="HR"/>
      </sharedItems>
    </cacheField>
    <cacheField name="Age" numFmtId="0">
      <sharedItems containsSemiMixedTypes="0" containsString="0" containsNumber="1" containsInteger="1" minValue="19" maxValue="46" count="25">
        <n v="22"/>
        <n v="46"/>
        <n v="28"/>
        <n v="37"/>
        <n v="32"/>
        <n v="30"/>
        <n v="33"/>
        <n v="24"/>
        <n v="27"/>
        <n v="29"/>
        <n v="25"/>
        <n v="20"/>
        <n v="40"/>
        <n v="21"/>
        <n v="31"/>
        <n v="34"/>
        <n v="42"/>
        <n v="36"/>
        <n v="19"/>
        <n v="38"/>
        <n v="43"/>
        <n v="26"/>
        <n v="23"/>
        <n v="35"/>
        <n v="44"/>
      </sharedItems>
    </cacheField>
    <cacheField name="Date Joined" numFmtId="14">
      <sharedItems containsSemiMixedTypes="0" containsNonDate="0" containsDate="1" containsString="0" minDate="2020-05-07T00:00:00" maxDate="2023-04-30T00:00:00"/>
    </cacheField>
    <cacheField name="Salary" numFmtId="167">
      <sharedItems containsSemiMixedTypes="0" containsString="0" containsNumber="1" containsInteger="1" minValue="33920" maxValue="119110"/>
    </cacheField>
    <cacheField name="Rating" numFmtId="0">
      <sharedItems/>
    </cacheField>
    <cacheField name="Area" numFmtId="0">
      <sharedItems count="2">
        <s v="New Zealand"/>
        <s v="India"/>
      </sharedItems>
    </cacheField>
    <cacheField name="Tenure" numFmtId="1">
      <sharedItems containsSemiMixedTypes="0" containsString="0" containsNumber="1" minValue="2.9972222222222222" maxValue="6.4805555555555552" count="406">
        <n v="5.125"/>
        <n v="4.2583333333333337"/>
        <n v="5.3722222222222218"/>
        <n v="5.958333333333333"/>
        <n v="5.072222222222222"/>
        <n v="3.9722222222222223"/>
        <n v="4.416666666666667"/>
        <n v="5.9527777777777775"/>
        <n v="4.95"/>
        <n v="6.0250000000000004"/>
        <n v="5.8638888888888889"/>
        <n v="5.3"/>
        <n v="5.0888888888888886"/>
        <n v="5.3805555555555555"/>
        <n v="5.6333333333333337"/>
        <n v="6.0750000000000002"/>
        <n v="4.2472222222222218"/>
        <n v="5.9611111111111112"/>
        <n v="5.6916666666666664"/>
        <n v="4.55"/>
        <n v="5.2833333333333332"/>
        <n v="4.5222222222222221"/>
        <n v="4.7888888888888888"/>
        <n v="4.7055555555555557"/>
        <n v="4.2"/>
        <n v="5.427777777777778"/>
        <n v="6.3"/>
        <n v="5.85"/>
        <n v="4.6638888888888888"/>
        <n v="5.3250000000000002"/>
        <n v="5.9083333333333332"/>
        <n v="4.9916666666666663"/>
        <n v="4.3472222222222223"/>
        <n v="4.3611111111111107"/>
        <n v="4.6138888888888889"/>
        <n v="5.8361111111111112"/>
        <n v="4.3527777777777779"/>
        <n v="4.9444444444444446"/>
        <n v="5.1527777777777777"/>
        <n v="4.8944444444444448"/>
        <n v="4.1166666666666663"/>
        <n v="4.458333333333333"/>
        <n v="5.1277777777777782"/>
        <n v="5.8555555555555552"/>
        <n v="4.2972222222222225"/>
        <n v="4.8722222222222218"/>
        <n v="4.4361111111111109"/>
        <n v="5.5944444444444441"/>
        <n v="6.3111111111111109"/>
        <n v="6.25"/>
        <n v="5.2527777777777782"/>
        <n v="6.1277777777777782"/>
        <n v="4.0027777777777782"/>
        <n v="5.4388888888888891"/>
        <n v="5.3166666666666664"/>
        <n v="4.6722222222222225"/>
        <n v="5.6055555555555552"/>
        <n v="5.1111111111111107"/>
        <n v="5.1138888888888889"/>
        <n v="3.4611111111111112"/>
        <n v="4.2138888888888886"/>
        <n v="5.0138888888888893"/>
        <n v="5.9916666666666663"/>
        <n v="5.6111111111111107"/>
        <n v="5.45"/>
        <n v="5.7944444444444443"/>
        <n v="5.4833333333333334"/>
        <n v="5.7388888888888889"/>
        <n v="4.5138888888888893"/>
        <n v="4.5611111111111109"/>
        <n v="5.4249999999999998"/>
        <n v="4.4805555555555552"/>
        <n v="5.1416666666666666"/>
        <n v="4.3444444444444441"/>
        <n v="5.708333333333333"/>
        <n v="4.6416666666666666"/>
        <n v="5.3055555555555554"/>
        <n v="4.6805555555555554"/>
        <n v="4.0861111111111112"/>
        <n v="5.6888888888888891"/>
        <n v="6.177777777777778"/>
        <n v="4.666666666666667"/>
        <n v="5.4972222222222218"/>
        <n v="5.2944444444444443"/>
        <n v="4.333333333333333"/>
        <n v="5.2222222222222223"/>
        <n v="4.6277777777777782"/>
        <n v="5.4222222222222225"/>
        <n v="5.6194444444444445"/>
        <n v="5.9638888888888886"/>
        <n v="5.4944444444444445"/>
        <n v="5.4638888888888886"/>
        <n v="4.5166666666666666"/>
        <n v="4.6055555555555552"/>
        <n v="4.8527777777777779"/>
        <n v="6.4194444444444443"/>
        <n v="6.2472222222222218"/>
        <n v="4.5805555555555557"/>
        <n v="4.5305555555555559"/>
        <n v="6.1222222222222218"/>
        <n v="4.4666666666666668"/>
        <n v="5.2861111111111114"/>
        <n v="6.1611111111111114"/>
        <n v="4.8138888888888891"/>
        <n v="4.3694444444444445"/>
        <n v="5.5972222222222223"/>
        <n v="6.4805555555555552"/>
        <n v="5.6611111111111114"/>
        <n v="4.8388888888888886"/>
        <n v="4.1416666666666666"/>
        <n v="5.6527777777777777"/>
        <n v="4.7777777777777777"/>
        <n v="5.2611111111111111"/>
        <n v="5.322222222222222"/>
        <n v="6.1305555555555555"/>
        <n v="6.1944444444444446"/>
        <n v="5.2972222222222225"/>
        <n v="4.958333333333333"/>
        <n v="5.541666666666667"/>
        <n v="4.5861111111111112"/>
        <n v="5.7750000000000004"/>
        <n v="4.7138888888888886"/>
        <n v="5.1833333333333336"/>
        <n v="5.8805555555555555"/>
        <n v="4.5027777777777782"/>
        <n v="6.0194444444444448"/>
        <n v="4.677777777777778"/>
        <n v="6.0777777777777775"/>
        <n v="6.3472222222222223"/>
        <n v="4.8777777777777782"/>
        <n v="5.4749999999999996"/>
        <n v="6.0333333333333332"/>
        <n v="5.1194444444444445"/>
        <n v="5.041666666666667"/>
        <n v="5.2444444444444445"/>
        <n v="5.4861111111111107"/>
        <n v="5.7972222222222225"/>
        <n v="4.6861111111111109"/>
        <n v="5.6083333333333334"/>
        <n v="4.8444444444444441"/>
        <n v="4.2888888888888888"/>
        <n v="5.3916666666666666"/>
        <n v="5.7694444444444448"/>
        <n v="5.4527777777777775"/>
        <n v="3.6277777777777778"/>
        <n v="4.8361111111111112"/>
        <n v="5.3138888888888891"/>
        <n v="5.0638888888888891"/>
        <n v="4.1722222222222225"/>
        <n v="4.7249999999999996"/>
        <n v="4.3833333333333337"/>
        <n v="4.6444444444444448"/>
        <n v="5.4694444444444441"/>
        <n v="6.4694444444444441"/>
        <n v="6.0055555555555555"/>
        <n v="5.1611111111111114"/>
        <n v="5.7583333333333337"/>
        <n v="4.427777777777778"/>
        <n v="5.8611111111111107"/>
        <n v="5.55"/>
        <n v="3.8472222222222223" u="1"/>
        <n v="4.9611111111111112" u="1"/>
        <n v="5.5472222222222225" u="1"/>
        <n v="4.6611111111111114" u="1"/>
        <n v="3.5611111111111109" u="1"/>
        <n v="4.0055555555555555" u="1"/>
        <n v="4.5388888888888888" u="1"/>
        <n v="5.6138888888888889" u="1"/>
        <n v="4.8888888888888893" u="1"/>
        <n v="4.9694444444444441" u="1"/>
        <n v="5.6638888888888888" u="1"/>
        <n v="3.8361111111111112" u="1"/>
        <n v="5.2805555555555559" u="1"/>
        <n v="4.1388888888888893" u="1"/>
        <n v="4.1111111111111107" u="1"/>
        <n v="4.3777777777777782" u="1"/>
        <n v="4.2944444444444443" u="1"/>
        <n v="3.7888888888888888" u="1"/>
        <n v="5.0166666666666666" u="1"/>
        <n v="5.8888888888888893" u="1"/>
        <n v="4.2527777777777782" u="1"/>
        <n v="4.9138888888888888" u="1"/>
        <n v="3.9361111111111109" u="1"/>
        <n v="3.95" u="1"/>
        <n v="4.2027777777777775" u="1"/>
        <n v="3.9416666666666669" u="1"/>
        <n v="4.5333333333333332" u="1"/>
        <n v="4.7416666666666663" u="1"/>
        <n v="4.4833333333333334" u="1"/>
        <n v="3.7055555555555557" u="1"/>
        <n v="4.0472222222222225" u="1"/>
        <n v="4.7166666666666668" u="1"/>
        <n v="5.4444444444444446" u="1"/>
        <n v="3.8861111111111111" u="1"/>
        <n v="4.4611111111111112" u="1"/>
        <n v="4.0250000000000004" u="1"/>
        <n v="5.9" u="1"/>
        <n v="5.8388888888888886" u="1"/>
        <n v="4.8416666666666668" u="1"/>
        <n v="5.7166666666666668" u="1"/>
        <n v="3.5916666666666668" u="1"/>
        <n v="5.0277777777777777" u="1"/>
        <n v="4.9055555555555559" u="1"/>
        <n v="4.2611111111111111" u="1"/>
        <n v="5.1944444444444446" u="1"/>
        <n v="4.7" u="1"/>
        <n v="4.7027777777777775" u="1"/>
        <n v="3.05" u="1"/>
        <n v="3.8027777777777776" u="1"/>
        <n v="4.6027777777777779" u="1"/>
        <n v="5.5805555555555557" u="1"/>
        <n v="5.2" u="1"/>
        <n v="5.0388888888888888" u="1"/>
        <n v="5.3833333333333337" u="1"/>
        <n v="5.3277777777777775" u="1"/>
        <n v="4.1027777777777779" u="1"/>
        <n v="4.1500000000000004" u="1"/>
        <n v="4.0694444444444446" u="1"/>
        <n v="4.7305555555555552" u="1"/>
        <n v="3.9333333333333331" u="1"/>
        <n v="4.2305555555555552" u="1"/>
        <n v="4.2694444444444448" u="1"/>
        <n v="3.6749999999999998" u="1"/>
        <n v="5.2777777777777777" u="1"/>
        <n v="5.7666666666666666" u="1"/>
        <n v="4.2555555555555555" u="1"/>
        <n v="5.0861111111111112" u="1"/>
        <n v="4.8833333333333337" u="1"/>
        <n v="3.9222222222222221" u="1"/>
        <n v="4.8111111111111109" u="1"/>
        <n v="5.1388888888888893" u="1"/>
        <n v="5.0111111111111111" u="1"/>
        <n v="5.208333333333333" u="1"/>
        <n v="5.552777777777778" u="1"/>
        <n v="5.052777777777778" u="1"/>
        <n v="4.1055555555555552" u="1"/>
        <n v="4.4416666666666664" u="1"/>
        <n v="6.0083333333333337" u="1"/>
        <n v="4.1694444444444443" u="1"/>
        <n v="4.1194444444444445" u="1"/>
        <n v="6.0694444444444446" u="1"/>
        <n v="3.7611111111111111" u="1"/>
        <n v="4.0555555555555554" u="1"/>
        <n v="4.875" u="1"/>
        <n v="5.75" u="1"/>
        <n v="4.4027777777777777" u="1"/>
        <n v="3.9583333333333335" u="1"/>
        <n v="4.2166666666666668" u="1"/>
        <n v="4.2750000000000004" u="1"/>
        <n v="3.2166666666666668" u="1"/>
        <n v="3.7305555555555556" u="1"/>
        <n v="5.2416666666666663" u="1"/>
        <n v="4.3666666666666663" u="1"/>
        <n v="4.1944444444444446" u="1"/>
        <n v="4.9111111111111114" u="1"/>
        <n v="5.6222222222222218" u="1"/>
        <n v="5.7833333333333332" u="1"/>
        <n v="4.8861111111111111" u="1"/>
        <n v="4.5472222222222225" u="1"/>
        <n v="5.1305555555555555" u="1"/>
        <n v="4.8499999999999996" u="1"/>
        <n v="4.2333333333333334" u="1"/>
        <n v="5.25" u="1"/>
        <n v="4.302777777777778" u="1"/>
        <n v="4.7722222222222221" u="1"/>
        <n v="4.0916666666666668" u="1"/>
        <n v="5.3638888888888889" u="1"/>
        <n v="4.2666666666666666" u="1"/>
        <n v="5.666666666666667" u="1"/>
        <n v="5.9361111111111109" u="1"/>
        <n v="5.1861111111111109" u="1"/>
        <n v="4.6305555555555555" u="1"/>
        <n v="4.833333333333333" u="1"/>
        <n v="5.0750000000000002" u="1"/>
        <n v="5.3861111111111111" u="1"/>
        <n v="5.7194444444444441" u="1"/>
        <n v="5.197222222222222" u="1"/>
        <n v="4.4333333333333336" u="1"/>
        <n v="3.8777777777777778" u="1"/>
        <n v="4.9805555555555552" u="1"/>
        <n v="4.1749999999999998" u="1"/>
        <n v="5.3583333333333334" u="1"/>
        <n v="4.4249999999999998" u="1"/>
        <n v="4.9027777777777777" u="1"/>
        <n v="4.6527777777777777" u="1"/>
        <n v="4.3138888888888891" u="1"/>
        <n v="6.0583333333333336" u="1"/>
        <n v="5.7111111111111112" u="1"/>
        <n v="5.0583333333333336" u="1"/>
        <n v="5.083333333333333" u="1"/>
        <n v="4.708333333333333" u="1"/>
        <n v="4.75" u="1"/>
        <n v="5.3472222222222223" u="1"/>
        <n v="4.0166666666666666" u="1"/>
        <n v="3.7944444444444443" u="1"/>
        <n v="4.9083333333333332" u="1"/>
        <n v="4.6083333333333334" u="1"/>
        <n v="3.5083333333333333" u="1"/>
        <n v="3.9527777777777779" u="1"/>
        <n v="5.4888888888888889" u="1"/>
        <n v="4.4861111111111107" u="1"/>
        <n v="5.5611111111111109" u="1"/>
        <n v="5.4" u="1"/>
        <n v="4.625" u="1"/>
        <n v="4.916666666666667" u="1"/>
        <n v="5.1694444444444443" u="1"/>
        <n v="3.7833333333333332" u="1"/>
        <n v="5.2277777777777779" u="1"/>
        <n v="4.8194444444444446" u="1"/>
        <n v="4.0583333333333336" u="1"/>
        <n v="4.3250000000000002" u="1"/>
        <n v="4.2416666666666663" u="1"/>
        <n v="3.7361111111111112" u="1"/>
        <n v="4.9638888888888886" u="1"/>
        <n v="4.8611111111111107" u="1"/>
        <n v="4.5277777777777777" u="1"/>
        <n v="3.8833333333333333" u="1"/>
        <n v="3.8972222222222221" u="1"/>
        <n v="3.8888888888888888" u="1"/>
        <n v="4.6888888888888891" u="1"/>
        <n v="4.4305555555555554" u="1"/>
        <n v="3.6527777777777777" u="1"/>
        <n v="3.9944444444444445" u="1"/>
        <n v="3.8333333333333335" u="1"/>
        <n v="4.4083333333333332" u="1"/>
        <n v="5.8472222222222223" u="1"/>
        <n v="5.7861111111111114" u="1"/>
        <n v="3.5388888888888888" u="1"/>
        <n v="4.9749999999999996" u="1"/>
        <n v="4.208333333333333" u="1"/>
        <n v="4.6472222222222221" u="1"/>
        <n v="4.6500000000000004" u="1"/>
        <n v="2.9972222222222222" u="1"/>
        <n v="3.75" u="1"/>
        <n v="5.5277777777777777" u="1"/>
        <n v="5.1472222222222221" u="1"/>
        <n v="4.9861111111111107" u="1"/>
        <n v="5.3305555555555557" u="1"/>
        <n v="5.0194444444444448" u="1"/>
        <n v="5.2750000000000004" u="1"/>
        <n v="4.05" u="1"/>
        <n v="4.0972222222222223" u="1"/>
        <n v="3.8805555555555555" u="1"/>
        <n v="4.177777777777778" u="1"/>
        <n v="3.6222222222222222" u="1"/>
        <n v="5.2249999999999996" u="1"/>
        <n v="5.7138888888888886" u="1"/>
        <n v="5.0333333333333332" u="1"/>
        <n v="4.8305555555555557" u="1"/>
        <n v="3.8694444444444445" u="1"/>
        <n v="4.7583333333333337" u="1"/>
        <n v="5.1555555555555559" u="1"/>
        <n v="5.5" u="1"/>
        <n v="3.9194444444444443" u="1"/>
        <n v="5" u="1"/>
        <n v="4.052777777777778" u="1"/>
        <n v="4.3888888888888893" u="1"/>
        <n v="5.9555555555555557" u="1"/>
        <n v="4.0666666666666664" u="1"/>
        <n v="6.0166666666666666" u="1"/>
        <n v="3.7083333333333335" u="1"/>
        <n v="4.822222222222222" u="1"/>
        <n v="5.697222222222222" u="1"/>
        <n v="4.3499999999999996" u="1"/>
        <n v="3.9055555555555554" u="1"/>
        <n v="4.1638888888888888" u="1"/>
        <n v="4.2222222222222223" u="1"/>
        <n v="3.1638888888888888" u="1"/>
        <n v="4.375" u="1"/>
        <n v="3.6777777777777776" u="1"/>
        <n v="5.1888888888888891" u="1"/>
        <n v="4.8583333333333334" u="1"/>
        <n v="5.5694444444444446" u="1"/>
        <n v="5.7305555555555552" u="1"/>
        <n v="4.4944444444444445" u="1"/>
        <n v="5.0777777777777775" u="1"/>
        <n v="4.7972222222222225" u="1"/>
        <n v="4.1805555555555554" u="1"/>
        <n v="4.25" u="1"/>
        <n v="4.7194444444444441" u="1"/>
        <n v="5.416666666666667" u="1"/>
        <n v="4.0388888888888888" u="1"/>
        <n v="5.5555555555555554" u="1"/>
        <n v="5.3111111111111109" u="1"/>
        <n v="5.8833333333333337" u="1"/>
        <n v="4.4138888888888888" u="1"/>
        <n v="5.1333333333333337" u="1"/>
        <n v="4.5777777777777775" u="1"/>
        <n v="4.7805555555555559" u="1"/>
        <n v="5.0222222222222221" u="1"/>
        <n v="5.333333333333333" u="1"/>
        <n v="5.1444444444444448" u="1"/>
        <n v="4.3805555555555555" u="1"/>
        <n v="3.8250000000000002" u="1"/>
        <n v="4.927777777777778" u="1"/>
        <n v="4.1222222222222218" u="1"/>
        <n v="4.9888888888888889" u="1"/>
        <n v="4.3722222222222218" u="1"/>
        <n v="4.5999999999999996" u="1"/>
        <n v="5.6583333333333332" u="1"/>
        <n v="5.0055555555555555" u="1"/>
        <n v="5.0305555555555559" u="1"/>
        <n v="4.6555555555555559" u="1"/>
        <n v="4.697222222222222" u="1"/>
        <n v="3.963888888888889" u="1"/>
        <n v="5.3972222222222221" u="1"/>
      </sharedItems>
    </cacheField>
    <cacheField name="Bonus" numFmtId="167">
      <sharedItems containsSemiMixedTypes="0" containsString="0" containsNumber="1" containsInteger="1" minValue="0" maxValue="142932"/>
    </cacheField>
    <cacheField name="Count Bonus" numFmtId="1">
      <sharedItems containsSemiMixedTypes="0" containsString="0" containsNumber="1" containsInteger="1" minValue="0" maxValue="1"/>
    </cacheField>
  </cacheFields>
  <extLst>
    <ext xmlns:x14="http://schemas.microsoft.com/office/spreadsheetml/2009/9/main" uri="{725AE2AE-9491-48be-B2B4-4EB974FC3084}">
      <x14:pivotCacheDefinition pivotCacheId="19459998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3">
  <r>
    <x v="0"/>
    <x v="0"/>
    <x v="0"/>
    <x v="0"/>
    <d v="2021-09-07T00:00:00"/>
    <n v="112780"/>
    <s v="Above average"/>
    <x v="0"/>
    <x v="0"/>
    <n v="135336"/>
    <n v="1"/>
  </r>
  <r>
    <x v="1"/>
    <x v="0"/>
    <x v="1"/>
    <x v="1"/>
    <d v="2022-07-16T00:00:00"/>
    <n v="70610"/>
    <s v="Average"/>
    <x v="0"/>
    <x v="1"/>
    <n v="84732"/>
    <n v="1"/>
  </r>
  <r>
    <x v="2"/>
    <x v="1"/>
    <x v="0"/>
    <x v="2"/>
    <d v="2021-06-10T00:00:00"/>
    <n v="53240"/>
    <s v="Average"/>
    <x v="0"/>
    <x v="2"/>
    <n v="63888"/>
    <n v="1"/>
  </r>
  <r>
    <x v="3"/>
    <x v="2"/>
    <x v="2"/>
    <x v="3"/>
    <d v="2020-11-11T00:00:00"/>
    <n v="115440"/>
    <s v="Poor"/>
    <x v="0"/>
    <x v="3"/>
    <n v="138528"/>
    <n v="1"/>
  </r>
  <r>
    <x v="4"/>
    <x v="0"/>
    <x v="0"/>
    <x v="4"/>
    <d v="2021-09-26T00:00:00"/>
    <n v="53540"/>
    <s v="Average"/>
    <x v="0"/>
    <x v="4"/>
    <n v="64248"/>
    <n v="1"/>
  </r>
  <r>
    <x v="5"/>
    <x v="1"/>
    <x v="1"/>
    <x v="5"/>
    <d v="2022-10-27T00:00:00"/>
    <n v="112570"/>
    <s v="Average"/>
    <x v="0"/>
    <x v="5"/>
    <n v="0"/>
    <n v="0"/>
  </r>
  <r>
    <x v="6"/>
    <x v="0"/>
    <x v="1"/>
    <x v="6"/>
    <d v="2022-05-20T00:00:00"/>
    <n v="48530"/>
    <s v="Above average"/>
    <x v="0"/>
    <x v="6"/>
    <n v="58236"/>
    <n v="1"/>
  </r>
  <r>
    <x v="7"/>
    <x v="1"/>
    <x v="3"/>
    <x v="7"/>
    <d v="2020-11-13T00:00:00"/>
    <n v="62780"/>
    <s v="Average"/>
    <x v="0"/>
    <x v="7"/>
    <n v="75336"/>
    <n v="1"/>
  </r>
  <r>
    <x v="8"/>
    <x v="0"/>
    <x v="3"/>
    <x v="6"/>
    <d v="2021-11-09T00:00:00"/>
    <n v="53870"/>
    <s v="Average"/>
    <x v="0"/>
    <x v="8"/>
    <n v="64644"/>
    <n v="1"/>
  </r>
  <r>
    <x v="9"/>
    <x v="1"/>
    <x v="4"/>
    <x v="8"/>
    <d v="2020-10-18T00:00:00"/>
    <n v="119110"/>
    <s v="Average"/>
    <x v="0"/>
    <x v="9"/>
    <n v="142932"/>
    <n v="1"/>
  </r>
  <r>
    <x v="10"/>
    <x v="0"/>
    <x v="3"/>
    <x v="9"/>
    <d v="2020-12-15T00:00:00"/>
    <n v="112110"/>
    <s v="Poor"/>
    <x v="0"/>
    <x v="10"/>
    <n v="134532"/>
    <n v="1"/>
  </r>
  <r>
    <x v="11"/>
    <x v="0"/>
    <x v="0"/>
    <x v="10"/>
    <d v="2021-07-06T00:00:00"/>
    <n v="65700"/>
    <s v="Average"/>
    <x v="0"/>
    <x v="11"/>
    <n v="78840"/>
    <n v="1"/>
  </r>
  <r>
    <x v="12"/>
    <x v="0"/>
    <x v="3"/>
    <x v="3"/>
    <d v="2022-05-20T00:00:00"/>
    <n v="69070"/>
    <s v="Average"/>
    <x v="0"/>
    <x v="6"/>
    <n v="82884"/>
    <n v="1"/>
  </r>
  <r>
    <x v="13"/>
    <x v="0"/>
    <x v="3"/>
    <x v="11"/>
    <d v="2021-09-20T00:00:00"/>
    <n v="107700"/>
    <s v="Average"/>
    <x v="0"/>
    <x v="12"/>
    <n v="129240"/>
    <n v="1"/>
  </r>
  <r>
    <x v="14"/>
    <x v="1"/>
    <x v="3"/>
    <x v="4"/>
    <d v="2021-06-07T00:00:00"/>
    <n v="43840"/>
    <s v="Above average"/>
    <x v="0"/>
    <x v="13"/>
    <n v="52608"/>
    <n v="1"/>
  </r>
  <r>
    <x v="15"/>
    <x v="0"/>
    <x v="1"/>
    <x v="12"/>
    <d v="2021-03-08T00:00:00"/>
    <n v="99750"/>
    <s v="Average"/>
    <x v="0"/>
    <x v="14"/>
    <n v="119700"/>
    <n v="1"/>
  </r>
  <r>
    <x v="16"/>
    <x v="0"/>
    <x v="1"/>
    <x v="13"/>
    <d v="2020-09-30T00:00:00"/>
    <n v="37920"/>
    <s v="Average"/>
    <x v="0"/>
    <x v="15"/>
    <n v="45504"/>
    <n v="1"/>
  </r>
  <r>
    <x v="17"/>
    <x v="0"/>
    <x v="1"/>
    <x v="13"/>
    <d v="2022-07-20T00:00:00"/>
    <n v="57090"/>
    <s v="Average"/>
    <x v="0"/>
    <x v="16"/>
    <n v="68508"/>
    <n v="1"/>
  </r>
  <r>
    <x v="18"/>
    <x v="1"/>
    <x v="3"/>
    <x v="14"/>
    <d v="2020-11-10T00:00:00"/>
    <n v="41980"/>
    <s v="Average"/>
    <x v="0"/>
    <x v="17"/>
    <n v="50376"/>
    <n v="1"/>
  </r>
  <r>
    <x v="19"/>
    <x v="0"/>
    <x v="4"/>
    <x v="13"/>
    <d v="2021-02-15T00:00:00"/>
    <n v="75880"/>
    <s v="Average"/>
    <x v="0"/>
    <x v="18"/>
    <n v="91056"/>
    <n v="1"/>
  </r>
  <r>
    <x v="20"/>
    <x v="1"/>
    <x v="2"/>
    <x v="15"/>
    <d v="2022-04-02T00:00:00"/>
    <n v="58940"/>
    <s v="Average"/>
    <x v="0"/>
    <x v="19"/>
    <n v="70728"/>
    <n v="1"/>
  </r>
  <r>
    <x v="21"/>
    <x v="1"/>
    <x v="2"/>
    <x v="5"/>
    <d v="2021-07-12T00:00:00"/>
    <n v="67910"/>
    <s v="Poor"/>
    <x v="0"/>
    <x v="20"/>
    <n v="81492"/>
    <n v="1"/>
  </r>
  <r>
    <x v="22"/>
    <x v="1"/>
    <x v="3"/>
    <x v="14"/>
    <d v="2022-04-12T00:00:00"/>
    <n v="58100"/>
    <s v="Average"/>
    <x v="0"/>
    <x v="21"/>
    <n v="69720"/>
    <n v="1"/>
  </r>
  <r>
    <x v="23"/>
    <x v="0"/>
    <x v="2"/>
    <x v="8"/>
    <d v="2022-01-06T00:00:00"/>
    <n v="48980"/>
    <s v="Average"/>
    <x v="0"/>
    <x v="22"/>
    <n v="58776"/>
    <n v="1"/>
  </r>
  <r>
    <x v="24"/>
    <x v="2"/>
    <x v="2"/>
    <x v="5"/>
    <d v="2022-02-05T00:00:00"/>
    <n v="64000"/>
    <s v="Average"/>
    <x v="0"/>
    <x v="23"/>
    <n v="76800"/>
    <n v="1"/>
  </r>
  <r>
    <x v="25"/>
    <x v="1"/>
    <x v="1"/>
    <x v="16"/>
    <d v="2022-08-06T00:00:00"/>
    <n v="75000"/>
    <s v="Exceptional"/>
    <x v="0"/>
    <x v="24"/>
    <n v="90000"/>
    <n v="1"/>
  </r>
  <r>
    <x v="26"/>
    <x v="1"/>
    <x v="3"/>
    <x v="12"/>
    <d v="2021-05-21T00:00:00"/>
    <n v="87620"/>
    <s v="Average"/>
    <x v="0"/>
    <x v="25"/>
    <n v="105144"/>
    <n v="1"/>
  </r>
  <r>
    <x v="27"/>
    <x v="1"/>
    <x v="3"/>
    <x v="9"/>
    <d v="2020-07-11T00:00:00"/>
    <n v="34980"/>
    <s v="Average"/>
    <x v="0"/>
    <x v="26"/>
    <n v="41976"/>
    <n v="1"/>
  </r>
  <r>
    <x v="28"/>
    <x v="1"/>
    <x v="2"/>
    <x v="2"/>
    <d v="2020-12-20T00:00:00"/>
    <n v="75970"/>
    <s v="Average"/>
    <x v="0"/>
    <x v="27"/>
    <n v="91164"/>
    <n v="1"/>
  </r>
  <r>
    <x v="29"/>
    <x v="1"/>
    <x v="2"/>
    <x v="15"/>
    <d v="2022-02-20T00:00:00"/>
    <n v="60130"/>
    <s v="Average"/>
    <x v="0"/>
    <x v="28"/>
    <n v="72156"/>
    <n v="1"/>
  </r>
  <r>
    <x v="30"/>
    <x v="1"/>
    <x v="3"/>
    <x v="6"/>
    <d v="2021-06-27T00:00:00"/>
    <n v="75480"/>
    <s v="Very poor"/>
    <x v="0"/>
    <x v="29"/>
    <n v="90576"/>
    <n v="1"/>
  </r>
  <r>
    <x v="31"/>
    <x v="0"/>
    <x v="1"/>
    <x v="6"/>
    <d v="2020-11-29T00:00:00"/>
    <n v="115920"/>
    <s v="Average"/>
    <x v="0"/>
    <x v="30"/>
    <n v="139104"/>
    <n v="1"/>
  </r>
  <r>
    <x v="32"/>
    <x v="1"/>
    <x v="0"/>
    <x v="17"/>
    <d v="2021-10-25T00:00:00"/>
    <n v="78540"/>
    <s v="Average"/>
    <x v="0"/>
    <x v="31"/>
    <n v="94248"/>
    <n v="1"/>
  </r>
  <r>
    <x v="33"/>
    <x v="0"/>
    <x v="1"/>
    <x v="10"/>
    <d v="2022-06-14T00:00:00"/>
    <n v="109190"/>
    <s v="Above average"/>
    <x v="0"/>
    <x v="32"/>
    <n v="131028"/>
    <n v="1"/>
  </r>
  <r>
    <x v="34"/>
    <x v="1"/>
    <x v="0"/>
    <x v="15"/>
    <d v="2022-06-09T00:00:00"/>
    <n v="49630"/>
    <s v="Poor"/>
    <x v="0"/>
    <x v="33"/>
    <n v="59556"/>
    <n v="1"/>
  </r>
  <r>
    <x v="35"/>
    <x v="1"/>
    <x v="1"/>
    <x v="2"/>
    <d v="2022-03-10T00:00:00"/>
    <n v="99970"/>
    <s v="Average"/>
    <x v="0"/>
    <x v="34"/>
    <n v="119964"/>
    <n v="1"/>
  </r>
  <r>
    <x v="36"/>
    <x v="1"/>
    <x v="3"/>
    <x v="6"/>
    <d v="2020-12-25T00:00:00"/>
    <n v="96140"/>
    <s v="Average"/>
    <x v="0"/>
    <x v="35"/>
    <n v="115368"/>
    <n v="1"/>
  </r>
  <r>
    <x v="37"/>
    <x v="0"/>
    <x v="1"/>
    <x v="14"/>
    <d v="2022-06-12T00:00:00"/>
    <n v="103550"/>
    <s v="Average"/>
    <x v="0"/>
    <x v="36"/>
    <n v="124260"/>
    <n v="1"/>
  </r>
  <r>
    <x v="38"/>
    <x v="0"/>
    <x v="3"/>
    <x v="14"/>
    <d v="2021-11-11T00:00:00"/>
    <n v="48950"/>
    <s v="Average"/>
    <x v="0"/>
    <x v="37"/>
    <n v="58740"/>
    <n v="1"/>
  </r>
  <r>
    <x v="39"/>
    <x v="0"/>
    <x v="2"/>
    <x v="7"/>
    <d v="2021-08-28T00:00:00"/>
    <n v="52610"/>
    <s v="Poor"/>
    <x v="0"/>
    <x v="38"/>
    <n v="63132"/>
    <n v="1"/>
  </r>
  <r>
    <x v="40"/>
    <x v="1"/>
    <x v="1"/>
    <x v="17"/>
    <d v="2021-11-29T00:00:00"/>
    <n v="78390"/>
    <s v="Average"/>
    <x v="0"/>
    <x v="39"/>
    <n v="94068"/>
    <n v="1"/>
  </r>
  <r>
    <x v="41"/>
    <x v="1"/>
    <x v="2"/>
    <x v="6"/>
    <d v="2022-09-05T00:00:00"/>
    <n v="86570"/>
    <s v="Average"/>
    <x v="0"/>
    <x v="40"/>
    <n v="103884"/>
    <n v="1"/>
  </r>
  <r>
    <x v="42"/>
    <x v="1"/>
    <x v="3"/>
    <x v="8"/>
    <d v="2022-05-05T00:00:00"/>
    <n v="83750"/>
    <s v="Average"/>
    <x v="0"/>
    <x v="41"/>
    <n v="100500"/>
    <n v="1"/>
  </r>
  <r>
    <x v="43"/>
    <x v="1"/>
    <x v="2"/>
    <x v="15"/>
    <d v="2021-09-06T00:00:00"/>
    <n v="92450"/>
    <s v="Average"/>
    <x v="0"/>
    <x v="42"/>
    <n v="110940"/>
    <n v="1"/>
  </r>
  <r>
    <x v="44"/>
    <x v="0"/>
    <x v="3"/>
    <x v="11"/>
    <d v="2020-12-18T00:00:00"/>
    <n v="112650"/>
    <s v="Average"/>
    <x v="0"/>
    <x v="43"/>
    <n v="135180"/>
    <n v="1"/>
  </r>
  <r>
    <x v="45"/>
    <x v="0"/>
    <x v="1"/>
    <x v="11"/>
    <d v="2022-07-02T00:00:00"/>
    <n v="79570"/>
    <s v="Average"/>
    <x v="0"/>
    <x v="44"/>
    <n v="95484"/>
    <n v="1"/>
  </r>
  <r>
    <x v="46"/>
    <x v="1"/>
    <x v="0"/>
    <x v="11"/>
    <d v="2021-12-07T00:00:00"/>
    <n v="68900"/>
    <s v="Poor"/>
    <x v="0"/>
    <x v="45"/>
    <n v="82680"/>
    <n v="1"/>
  </r>
  <r>
    <x v="47"/>
    <x v="1"/>
    <x v="3"/>
    <x v="10"/>
    <d v="2022-05-13T00:00:00"/>
    <n v="80700"/>
    <s v="Above average"/>
    <x v="0"/>
    <x v="46"/>
    <n v="96840"/>
    <n v="1"/>
  </r>
  <r>
    <x v="48"/>
    <x v="0"/>
    <x v="1"/>
    <x v="18"/>
    <d v="2021-03-22T00:00:00"/>
    <n v="58960"/>
    <s v="Average"/>
    <x v="0"/>
    <x v="47"/>
    <n v="70752"/>
    <n v="1"/>
  </r>
  <r>
    <x v="49"/>
    <x v="0"/>
    <x v="3"/>
    <x v="17"/>
    <d v="2020-07-07T00:00:00"/>
    <n v="118840"/>
    <s v="Average"/>
    <x v="0"/>
    <x v="48"/>
    <n v="142608"/>
    <n v="1"/>
  </r>
  <r>
    <x v="50"/>
    <x v="0"/>
    <x v="2"/>
    <x v="2"/>
    <d v="2020-07-29T00:00:00"/>
    <n v="48170"/>
    <s v="Above average"/>
    <x v="0"/>
    <x v="49"/>
    <n v="57804"/>
    <n v="1"/>
  </r>
  <r>
    <x v="51"/>
    <x v="1"/>
    <x v="4"/>
    <x v="4"/>
    <d v="2021-07-23T00:00:00"/>
    <n v="45510"/>
    <s v="Average"/>
    <x v="0"/>
    <x v="50"/>
    <n v="54612"/>
    <n v="1"/>
  </r>
  <r>
    <x v="52"/>
    <x v="1"/>
    <x v="1"/>
    <x v="17"/>
    <d v="2020-09-11T00:00:00"/>
    <n v="114890"/>
    <s v="Average"/>
    <x v="0"/>
    <x v="51"/>
    <n v="137868"/>
    <n v="1"/>
  </r>
  <r>
    <x v="53"/>
    <x v="0"/>
    <x v="3"/>
    <x v="5"/>
    <d v="2022-10-16T00:00:00"/>
    <n v="69710"/>
    <s v="Average"/>
    <x v="0"/>
    <x v="52"/>
    <n v="83652"/>
    <n v="1"/>
  </r>
  <r>
    <x v="54"/>
    <x v="0"/>
    <x v="2"/>
    <x v="17"/>
    <d v="2021-05-17T00:00:00"/>
    <n v="71380"/>
    <s v="Average"/>
    <x v="0"/>
    <x v="53"/>
    <n v="85656"/>
    <n v="1"/>
  </r>
  <r>
    <x v="55"/>
    <x v="1"/>
    <x v="0"/>
    <x v="19"/>
    <d v="2021-06-30T00:00:00"/>
    <n v="109160"/>
    <s v="Exceptional"/>
    <x v="0"/>
    <x v="54"/>
    <n v="130992"/>
    <n v="1"/>
  </r>
  <r>
    <x v="56"/>
    <x v="0"/>
    <x v="1"/>
    <x v="8"/>
    <d v="2022-02-17T00:00:00"/>
    <n v="113280"/>
    <s v="Very poor"/>
    <x v="0"/>
    <x v="55"/>
    <n v="135936"/>
    <n v="1"/>
  </r>
  <r>
    <x v="57"/>
    <x v="0"/>
    <x v="3"/>
    <x v="5"/>
    <d v="2021-03-18T00:00:00"/>
    <n v="69120"/>
    <s v="Average"/>
    <x v="0"/>
    <x v="56"/>
    <n v="82944"/>
    <n v="1"/>
  </r>
  <r>
    <x v="58"/>
    <x v="1"/>
    <x v="4"/>
    <x v="3"/>
    <d v="2021-09-12T00:00:00"/>
    <n v="118100"/>
    <s v="Average"/>
    <x v="0"/>
    <x v="57"/>
    <n v="141720"/>
    <n v="1"/>
  </r>
  <r>
    <x v="59"/>
    <x v="1"/>
    <x v="1"/>
    <x v="0"/>
    <d v="2021-09-11T00:00:00"/>
    <n v="76900"/>
    <s v="Above average"/>
    <x v="0"/>
    <x v="58"/>
    <n v="92280"/>
    <n v="1"/>
  </r>
  <r>
    <x v="60"/>
    <x v="1"/>
    <x v="3"/>
    <x v="20"/>
    <d v="2023-04-29T00:00:00"/>
    <n v="114870"/>
    <s v="Average"/>
    <x v="0"/>
    <x v="59"/>
    <n v="0"/>
    <n v="0"/>
  </r>
  <r>
    <x v="61"/>
    <x v="2"/>
    <x v="3"/>
    <x v="4"/>
    <d v="2022-08-01T00:00:00"/>
    <n v="91310"/>
    <s v="Average"/>
    <x v="0"/>
    <x v="60"/>
    <n v="109572"/>
    <n v="1"/>
  </r>
  <r>
    <x v="62"/>
    <x v="1"/>
    <x v="1"/>
    <x v="2"/>
    <d v="2021-10-17T00:00:00"/>
    <n v="104770"/>
    <s v="Average"/>
    <x v="0"/>
    <x v="61"/>
    <n v="125724"/>
    <n v="1"/>
  </r>
  <r>
    <x v="63"/>
    <x v="0"/>
    <x v="0"/>
    <x v="8"/>
    <d v="2020-10-30T00:00:00"/>
    <n v="54970"/>
    <s v="Average"/>
    <x v="0"/>
    <x v="62"/>
    <n v="65964"/>
    <n v="1"/>
  </r>
  <r>
    <x v="64"/>
    <x v="2"/>
    <x v="3"/>
    <x v="21"/>
    <d v="2021-03-16T00:00:00"/>
    <n v="90700"/>
    <s v="Above average"/>
    <x v="0"/>
    <x v="63"/>
    <n v="108840"/>
    <n v="1"/>
  </r>
  <r>
    <x v="65"/>
    <x v="1"/>
    <x v="0"/>
    <x v="19"/>
    <d v="2021-05-13T00:00:00"/>
    <n v="56870"/>
    <s v="Above average"/>
    <x v="0"/>
    <x v="64"/>
    <n v="68244"/>
    <n v="1"/>
  </r>
  <r>
    <x v="66"/>
    <x v="1"/>
    <x v="0"/>
    <x v="10"/>
    <d v="2021-01-09T00:00:00"/>
    <n v="92700"/>
    <s v="Average"/>
    <x v="0"/>
    <x v="65"/>
    <n v="111240"/>
    <n v="1"/>
  </r>
  <r>
    <x v="67"/>
    <x v="1"/>
    <x v="2"/>
    <x v="13"/>
    <d v="2021-05-01T00:00:00"/>
    <n v="65920"/>
    <s v="Average"/>
    <x v="0"/>
    <x v="66"/>
    <n v="79104"/>
    <n v="1"/>
  </r>
  <r>
    <x v="68"/>
    <x v="0"/>
    <x v="1"/>
    <x v="21"/>
    <d v="2021-01-29T00:00:00"/>
    <n v="47360"/>
    <s v="Average"/>
    <x v="0"/>
    <x v="67"/>
    <n v="56832"/>
    <n v="1"/>
  </r>
  <r>
    <x v="69"/>
    <x v="0"/>
    <x v="1"/>
    <x v="5"/>
    <d v="2022-04-15T00:00:00"/>
    <n v="60570"/>
    <s v="Average"/>
    <x v="0"/>
    <x v="68"/>
    <n v="72684"/>
    <n v="1"/>
  </r>
  <r>
    <x v="70"/>
    <x v="1"/>
    <x v="1"/>
    <x v="2"/>
    <d v="2022-03-29T00:00:00"/>
    <n v="104120"/>
    <s v="Average"/>
    <x v="0"/>
    <x v="69"/>
    <n v="124944"/>
    <n v="1"/>
  </r>
  <r>
    <x v="71"/>
    <x v="0"/>
    <x v="3"/>
    <x v="3"/>
    <d v="2021-05-22T00:00:00"/>
    <n v="88050"/>
    <s v="Poor"/>
    <x v="0"/>
    <x v="70"/>
    <n v="105660"/>
    <n v="1"/>
  </r>
  <r>
    <x v="72"/>
    <x v="0"/>
    <x v="3"/>
    <x v="7"/>
    <d v="2022-05-05T00:00:00"/>
    <n v="100420"/>
    <s v="Average"/>
    <x v="0"/>
    <x v="41"/>
    <n v="120504"/>
    <n v="1"/>
  </r>
  <r>
    <x v="73"/>
    <x v="1"/>
    <x v="1"/>
    <x v="5"/>
    <d v="2022-10-16T00:00:00"/>
    <n v="114180"/>
    <s v="Average"/>
    <x v="0"/>
    <x v="52"/>
    <n v="137016"/>
    <n v="1"/>
  </r>
  <r>
    <x v="74"/>
    <x v="1"/>
    <x v="3"/>
    <x v="13"/>
    <d v="2022-04-27T00:00:00"/>
    <n v="33920"/>
    <s v="Average"/>
    <x v="0"/>
    <x v="71"/>
    <n v="40704"/>
    <n v="1"/>
  </r>
  <r>
    <x v="75"/>
    <x v="0"/>
    <x v="1"/>
    <x v="22"/>
    <d v="2021-09-01T00:00:00"/>
    <n v="106460"/>
    <s v="Average"/>
    <x v="0"/>
    <x v="72"/>
    <n v="127752"/>
    <n v="1"/>
  </r>
  <r>
    <x v="76"/>
    <x v="0"/>
    <x v="1"/>
    <x v="23"/>
    <d v="2022-06-15T00:00:00"/>
    <n v="40400"/>
    <s v="Average"/>
    <x v="0"/>
    <x v="73"/>
    <n v="48480"/>
    <n v="1"/>
  </r>
  <r>
    <x v="77"/>
    <x v="0"/>
    <x v="2"/>
    <x v="8"/>
    <d v="2021-02-09T00:00:00"/>
    <n v="91650"/>
    <s v="Above average"/>
    <x v="0"/>
    <x v="74"/>
    <n v="109980"/>
    <n v="1"/>
  </r>
  <r>
    <x v="78"/>
    <x v="0"/>
    <x v="0"/>
    <x v="20"/>
    <d v="2022-02-28T00:00:00"/>
    <n v="36040"/>
    <s v="Average"/>
    <x v="0"/>
    <x v="75"/>
    <n v="43248"/>
    <n v="1"/>
  </r>
  <r>
    <x v="79"/>
    <x v="1"/>
    <x v="3"/>
    <x v="12"/>
    <d v="2021-07-04T00:00:00"/>
    <n v="104410"/>
    <s v="Average"/>
    <x v="0"/>
    <x v="76"/>
    <n v="125292"/>
    <n v="1"/>
  </r>
  <r>
    <x v="80"/>
    <x v="0"/>
    <x v="2"/>
    <x v="5"/>
    <d v="2022-02-14T00:00:00"/>
    <n v="96800"/>
    <s v="Average"/>
    <x v="0"/>
    <x v="77"/>
    <n v="116160"/>
    <n v="1"/>
  </r>
  <r>
    <x v="81"/>
    <x v="1"/>
    <x v="2"/>
    <x v="15"/>
    <d v="2021-09-20T00:00:00"/>
    <n v="85000"/>
    <s v="Average"/>
    <x v="0"/>
    <x v="12"/>
    <n v="102000"/>
    <n v="1"/>
  </r>
  <r>
    <x v="82"/>
    <x v="0"/>
    <x v="0"/>
    <x v="2"/>
    <d v="2022-09-16T00:00:00"/>
    <n v="43510"/>
    <s v="Very poor"/>
    <x v="0"/>
    <x v="78"/>
    <n v="52212"/>
    <n v="1"/>
  </r>
  <r>
    <x v="83"/>
    <x v="0"/>
    <x v="2"/>
    <x v="6"/>
    <d v="2021-02-16T00:00:00"/>
    <n v="59430"/>
    <s v="Average"/>
    <x v="0"/>
    <x v="79"/>
    <n v="71316"/>
    <n v="1"/>
  </r>
  <r>
    <x v="84"/>
    <x v="1"/>
    <x v="2"/>
    <x v="6"/>
    <d v="2020-08-24T00:00:00"/>
    <n v="65360"/>
    <s v="Average"/>
    <x v="0"/>
    <x v="80"/>
    <n v="78432"/>
    <n v="1"/>
  </r>
  <r>
    <x v="85"/>
    <x v="1"/>
    <x v="1"/>
    <x v="4"/>
    <d v="2022-02-19T00:00:00"/>
    <n v="41570"/>
    <s v="Average"/>
    <x v="0"/>
    <x v="81"/>
    <n v="49884"/>
    <n v="1"/>
  </r>
  <r>
    <x v="86"/>
    <x v="1"/>
    <x v="3"/>
    <x v="6"/>
    <d v="2021-04-26T00:00:00"/>
    <n v="75280"/>
    <s v="Average"/>
    <x v="0"/>
    <x v="82"/>
    <n v="90336"/>
    <n v="1"/>
  </r>
  <r>
    <x v="87"/>
    <x v="0"/>
    <x v="0"/>
    <x v="6"/>
    <d v="2021-07-08T00:00:00"/>
    <n v="74550"/>
    <s v="Average"/>
    <x v="0"/>
    <x v="83"/>
    <n v="89460"/>
    <n v="1"/>
  </r>
  <r>
    <x v="88"/>
    <x v="0"/>
    <x v="1"/>
    <x v="5"/>
    <d v="2022-05-20T00:00:00"/>
    <n v="67950"/>
    <s v="Average"/>
    <x v="0"/>
    <x v="6"/>
    <n v="81540"/>
    <n v="1"/>
  </r>
  <r>
    <x v="89"/>
    <x v="0"/>
    <x v="2"/>
    <x v="16"/>
    <d v="2022-06-19T00:00:00"/>
    <n v="70270"/>
    <s v="Poor"/>
    <x v="0"/>
    <x v="84"/>
    <n v="84324"/>
    <n v="1"/>
  </r>
  <r>
    <x v="90"/>
    <x v="0"/>
    <x v="1"/>
    <x v="21"/>
    <d v="2021-08-03T00:00:00"/>
    <n v="53540"/>
    <s v="Average"/>
    <x v="0"/>
    <x v="85"/>
    <n v="64248"/>
    <n v="1"/>
  </r>
  <r>
    <x v="91"/>
    <x v="0"/>
    <x v="3"/>
    <x v="14"/>
    <d v="2021-09-11T00:00:00"/>
    <n v="48950"/>
    <s v="Average"/>
    <x v="1"/>
    <x v="58"/>
    <n v="58740"/>
    <n v="1"/>
  </r>
  <r>
    <x v="92"/>
    <x v="0"/>
    <x v="3"/>
    <x v="7"/>
    <d v="2022-03-05T00:00:00"/>
    <n v="100420"/>
    <s v="Average"/>
    <x v="1"/>
    <x v="86"/>
    <n v="120504"/>
    <n v="1"/>
  </r>
  <r>
    <x v="93"/>
    <x v="0"/>
    <x v="1"/>
    <x v="14"/>
    <d v="2022-04-12T00:00:00"/>
    <n v="103550"/>
    <s v="Average"/>
    <x v="1"/>
    <x v="21"/>
    <n v="124260"/>
    <n v="1"/>
  </r>
  <r>
    <x v="94"/>
    <x v="1"/>
    <x v="4"/>
    <x v="4"/>
    <d v="2021-05-23T00:00:00"/>
    <n v="45510"/>
    <s v="Average"/>
    <x v="1"/>
    <x v="87"/>
    <n v="54612"/>
    <n v="1"/>
  </r>
  <r>
    <x v="95"/>
    <x v="2"/>
    <x v="2"/>
    <x v="3"/>
    <d v="2020-09-11T00:00:00"/>
    <n v="115440"/>
    <s v="Poor"/>
    <x v="1"/>
    <x v="51"/>
    <n v="138528"/>
    <n v="1"/>
  </r>
  <r>
    <x v="96"/>
    <x v="1"/>
    <x v="0"/>
    <x v="19"/>
    <d v="2021-03-13T00:00:00"/>
    <n v="56870"/>
    <s v="Above average"/>
    <x v="1"/>
    <x v="88"/>
    <n v="68244"/>
    <n v="1"/>
  </r>
  <r>
    <x v="97"/>
    <x v="1"/>
    <x v="0"/>
    <x v="10"/>
    <d v="2020-11-09T00:00:00"/>
    <n v="92700"/>
    <s v="Average"/>
    <x v="1"/>
    <x v="89"/>
    <n v="111240"/>
    <n v="1"/>
  </r>
  <r>
    <x v="98"/>
    <x v="1"/>
    <x v="3"/>
    <x v="6"/>
    <d v="2021-04-27T00:00:00"/>
    <n v="75480"/>
    <s v="Very poor"/>
    <x v="1"/>
    <x v="90"/>
    <n v="90576"/>
    <n v="1"/>
  </r>
  <r>
    <x v="99"/>
    <x v="0"/>
    <x v="0"/>
    <x v="6"/>
    <d v="2021-05-08T00:00:00"/>
    <n v="74550"/>
    <s v="Average"/>
    <x v="1"/>
    <x v="91"/>
    <n v="89460"/>
    <n v="1"/>
  </r>
  <r>
    <x v="100"/>
    <x v="0"/>
    <x v="1"/>
    <x v="10"/>
    <d v="2022-04-14T00:00:00"/>
    <n v="109190"/>
    <s v="Above average"/>
    <x v="1"/>
    <x v="92"/>
    <n v="131028"/>
    <n v="1"/>
  </r>
  <r>
    <x v="101"/>
    <x v="1"/>
    <x v="3"/>
    <x v="10"/>
    <d v="2022-03-13T00:00:00"/>
    <n v="80700"/>
    <s v="Above average"/>
    <x v="1"/>
    <x v="93"/>
    <n v="96840"/>
    <n v="1"/>
  </r>
  <r>
    <x v="102"/>
    <x v="0"/>
    <x v="2"/>
    <x v="5"/>
    <d v="2021-12-14T00:00:00"/>
    <n v="96800"/>
    <s v="Average"/>
    <x v="1"/>
    <x v="94"/>
    <n v="116160"/>
    <n v="1"/>
  </r>
  <r>
    <x v="103"/>
    <x v="0"/>
    <x v="2"/>
    <x v="2"/>
    <d v="2020-05-29T00:00:00"/>
    <n v="48170"/>
    <s v="Above average"/>
    <x v="1"/>
    <x v="95"/>
    <n v="57804"/>
    <n v="1"/>
  </r>
  <r>
    <x v="104"/>
    <x v="0"/>
    <x v="1"/>
    <x v="13"/>
    <d v="2020-07-30T00:00:00"/>
    <n v="37920"/>
    <s v="Average"/>
    <x v="1"/>
    <x v="96"/>
    <n v="45504"/>
    <n v="1"/>
  </r>
  <r>
    <x v="105"/>
    <x v="0"/>
    <x v="1"/>
    <x v="15"/>
    <d v="2022-03-22T00:00:00"/>
    <n v="112650"/>
    <s v="Average"/>
    <x v="1"/>
    <x v="97"/>
    <n v="135180"/>
    <n v="1"/>
  </r>
  <r>
    <x v="106"/>
    <x v="1"/>
    <x v="0"/>
    <x v="15"/>
    <d v="2022-04-09T00:00:00"/>
    <n v="49630"/>
    <s v="Poor"/>
    <x v="1"/>
    <x v="98"/>
    <n v="59556"/>
    <n v="1"/>
  </r>
  <r>
    <x v="107"/>
    <x v="0"/>
    <x v="3"/>
    <x v="11"/>
    <d v="2020-10-18T00:00:00"/>
    <n v="112650"/>
    <s v="Average"/>
    <x v="1"/>
    <x v="9"/>
    <n v="135180"/>
    <n v="1"/>
  </r>
  <r>
    <x v="108"/>
    <x v="1"/>
    <x v="3"/>
    <x v="7"/>
    <d v="2020-09-13T00:00:00"/>
    <n v="62780"/>
    <s v="Average"/>
    <x v="1"/>
    <x v="99"/>
    <n v="75336"/>
    <n v="1"/>
  </r>
  <r>
    <x v="109"/>
    <x v="0"/>
    <x v="1"/>
    <x v="11"/>
    <d v="2022-05-02T00:00:00"/>
    <n v="79570"/>
    <s v="Average"/>
    <x v="1"/>
    <x v="100"/>
    <n v="95484"/>
    <n v="1"/>
  </r>
  <r>
    <x v="110"/>
    <x v="1"/>
    <x v="1"/>
    <x v="0"/>
    <d v="2021-07-11T00:00:00"/>
    <n v="76900"/>
    <s v="Above average"/>
    <x v="1"/>
    <x v="101"/>
    <n v="92280"/>
    <n v="1"/>
  </r>
  <r>
    <x v="111"/>
    <x v="0"/>
    <x v="0"/>
    <x v="8"/>
    <d v="2020-08-30T00:00:00"/>
    <n v="54970"/>
    <s v="Average"/>
    <x v="1"/>
    <x v="102"/>
    <n v="65964"/>
    <n v="1"/>
  </r>
  <r>
    <x v="112"/>
    <x v="0"/>
    <x v="3"/>
    <x v="3"/>
    <d v="2021-03-22T00:00:00"/>
    <n v="88050"/>
    <s v="Poor"/>
    <x v="1"/>
    <x v="47"/>
    <n v="105660"/>
    <n v="1"/>
  </r>
  <r>
    <x v="113"/>
    <x v="0"/>
    <x v="0"/>
    <x v="20"/>
    <d v="2021-12-28T00:00:00"/>
    <n v="36040"/>
    <s v="Average"/>
    <x v="1"/>
    <x v="103"/>
    <n v="43248"/>
    <n v="1"/>
  </r>
  <r>
    <x v="114"/>
    <x v="1"/>
    <x v="1"/>
    <x v="16"/>
    <d v="2022-06-06T00:00:00"/>
    <n v="75000"/>
    <s v="Exceptional"/>
    <x v="1"/>
    <x v="104"/>
    <n v="90000"/>
    <n v="1"/>
  </r>
  <r>
    <x v="115"/>
    <x v="0"/>
    <x v="1"/>
    <x v="23"/>
    <d v="2022-04-15T00:00:00"/>
    <n v="40400"/>
    <s v="Average"/>
    <x v="1"/>
    <x v="68"/>
    <n v="48480"/>
    <n v="1"/>
  </r>
  <r>
    <x v="116"/>
    <x v="1"/>
    <x v="3"/>
    <x v="12"/>
    <d v="2021-03-21T00:00:00"/>
    <n v="87620"/>
    <s v="Average"/>
    <x v="1"/>
    <x v="105"/>
    <n v="105144"/>
    <n v="1"/>
  </r>
  <r>
    <x v="117"/>
    <x v="0"/>
    <x v="3"/>
    <x v="17"/>
    <d v="2020-05-07T00:00:00"/>
    <n v="118840"/>
    <s v="Average"/>
    <x v="1"/>
    <x v="106"/>
    <n v="142608"/>
    <n v="1"/>
  </r>
  <r>
    <x v="118"/>
    <x v="1"/>
    <x v="3"/>
    <x v="6"/>
    <d v="2021-02-26T00:00:00"/>
    <n v="75280"/>
    <s v="Average"/>
    <x v="1"/>
    <x v="107"/>
    <n v="90336"/>
    <n v="1"/>
  </r>
  <r>
    <x v="119"/>
    <x v="1"/>
    <x v="1"/>
    <x v="4"/>
    <d v="2021-12-19T00:00:00"/>
    <n v="41570"/>
    <s v="Average"/>
    <x v="1"/>
    <x v="108"/>
    <n v="49884"/>
    <n v="1"/>
  </r>
  <r>
    <x v="120"/>
    <x v="1"/>
    <x v="1"/>
    <x v="5"/>
    <d v="2022-08-27T00:00:00"/>
    <n v="112570"/>
    <s v="Average"/>
    <x v="1"/>
    <x v="109"/>
    <n v="135084"/>
    <n v="1"/>
  </r>
  <r>
    <x v="121"/>
    <x v="0"/>
    <x v="1"/>
    <x v="21"/>
    <d v="2020-11-29T00:00:00"/>
    <n v="47360"/>
    <s v="Average"/>
    <x v="1"/>
    <x v="30"/>
    <n v="56832"/>
    <n v="1"/>
  </r>
  <r>
    <x v="122"/>
    <x v="1"/>
    <x v="2"/>
    <x v="13"/>
    <d v="2021-03-01T00:00:00"/>
    <n v="65920"/>
    <s v="Average"/>
    <x v="1"/>
    <x v="110"/>
    <n v="79104"/>
    <n v="1"/>
  </r>
  <r>
    <x v="123"/>
    <x v="1"/>
    <x v="1"/>
    <x v="2"/>
    <d v="2022-01-10T00:00:00"/>
    <n v="99970"/>
    <s v="Average"/>
    <x v="1"/>
    <x v="111"/>
    <n v="119964"/>
    <n v="1"/>
  </r>
  <r>
    <x v="124"/>
    <x v="0"/>
    <x v="3"/>
    <x v="11"/>
    <d v="2021-07-20T00:00:00"/>
    <n v="107700"/>
    <s v="Average"/>
    <x v="1"/>
    <x v="112"/>
    <n v="129240"/>
    <n v="1"/>
  </r>
  <r>
    <x v="125"/>
    <x v="0"/>
    <x v="2"/>
    <x v="7"/>
    <d v="2021-06-28T00:00:00"/>
    <n v="52610"/>
    <s v="Poor"/>
    <x v="1"/>
    <x v="113"/>
    <n v="63132"/>
    <n v="1"/>
  </r>
  <r>
    <x v="126"/>
    <x v="1"/>
    <x v="3"/>
    <x v="14"/>
    <d v="2020-09-10T00:00:00"/>
    <n v="41980"/>
    <s v="Average"/>
    <x v="1"/>
    <x v="114"/>
    <n v="50376"/>
    <n v="1"/>
  </r>
  <r>
    <x v="127"/>
    <x v="1"/>
    <x v="4"/>
    <x v="8"/>
    <d v="2020-08-18T00:00:00"/>
    <n v="119110"/>
    <s v="Average"/>
    <x v="1"/>
    <x v="115"/>
    <n v="142932"/>
    <n v="1"/>
  </r>
  <r>
    <x v="128"/>
    <x v="0"/>
    <x v="0"/>
    <x v="0"/>
    <d v="2021-07-07T00:00:00"/>
    <n v="112780"/>
    <s v="Above average"/>
    <x v="1"/>
    <x v="116"/>
    <n v="135336"/>
    <n v="1"/>
  </r>
  <r>
    <x v="129"/>
    <x v="1"/>
    <x v="1"/>
    <x v="17"/>
    <d v="2020-07-11T00:00:00"/>
    <n v="114890"/>
    <s v="Average"/>
    <x v="1"/>
    <x v="26"/>
    <n v="137868"/>
    <n v="1"/>
  </r>
  <r>
    <x v="130"/>
    <x v="0"/>
    <x v="2"/>
    <x v="8"/>
    <d v="2021-11-06T00:00:00"/>
    <n v="48980"/>
    <s v="Average"/>
    <x v="1"/>
    <x v="117"/>
    <n v="58776"/>
    <n v="1"/>
  </r>
  <r>
    <x v="131"/>
    <x v="0"/>
    <x v="4"/>
    <x v="13"/>
    <d v="2020-12-15T00:00:00"/>
    <n v="75880"/>
    <s v="Average"/>
    <x v="1"/>
    <x v="10"/>
    <n v="91056"/>
    <n v="1"/>
  </r>
  <r>
    <x v="132"/>
    <x v="1"/>
    <x v="0"/>
    <x v="2"/>
    <d v="2021-04-10T00:00:00"/>
    <n v="53240"/>
    <s v="Average"/>
    <x v="1"/>
    <x v="118"/>
    <n v="63888"/>
    <n v="1"/>
  </r>
  <r>
    <x v="133"/>
    <x v="1"/>
    <x v="2"/>
    <x v="15"/>
    <d v="2021-07-20T00:00:00"/>
    <n v="85000"/>
    <s v="Average"/>
    <x v="1"/>
    <x v="112"/>
    <n v="102000"/>
    <n v="1"/>
  </r>
  <r>
    <x v="134"/>
    <x v="0"/>
    <x v="3"/>
    <x v="3"/>
    <d v="2022-03-20T00:00:00"/>
    <n v="69070"/>
    <s v="Average"/>
    <x v="1"/>
    <x v="119"/>
    <n v="82884"/>
    <n v="1"/>
  </r>
  <r>
    <x v="135"/>
    <x v="2"/>
    <x v="3"/>
    <x v="8"/>
    <d v="2021-01-16T00:00:00"/>
    <n v="90700"/>
    <s v="Above average"/>
    <x v="1"/>
    <x v="120"/>
    <n v="108840"/>
    <n v="1"/>
  </r>
  <r>
    <x v="136"/>
    <x v="1"/>
    <x v="2"/>
    <x v="15"/>
    <d v="2022-02-02T00:00:00"/>
    <n v="58940"/>
    <s v="Average"/>
    <x v="1"/>
    <x v="121"/>
    <n v="70728"/>
    <n v="1"/>
  </r>
  <r>
    <x v="137"/>
    <x v="1"/>
    <x v="1"/>
    <x v="2"/>
    <d v="2021-08-17T00:00:00"/>
    <n v="104770"/>
    <s v="Average"/>
    <x v="1"/>
    <x v="122"/>
    <n v="125724"/>
    <n v="1"/>
  </r>
  <r>
    <x v="138"/>
    <x v="0"/>
    <x v="1"/>
    <x v="13"/>
    <d v="2022-05-20T00:00:00"/>
    <n v="57090"/>
    <s v="Average"/>
    <x v="1"/>
    <x v="6"/>
    <n v="68508"/>
    <n v="1"/>
  </r>
  <r>
    <x v="139"/>
    <x v="0"/>
    <x v="2"/>
    <x v="8"/>
    <d v="2020-12-09T00:00:00"/>
    <n v="91650"/>
    <s v="Above average"/>
    <x v="1"/>
    <x v="123"/>
    <n v="109980"/>
    <n v="1"/>
  </r>
  <r>
    <x v="140"/>
    <x v="0"/>
    <x v="2"/>
    <x v="16"/>
    <d v="2022-04-19T00:00:00"/>
    <n v="70270"/>
    <s v="Poor"/>
    <x v="1"/>
    <x v="124"/>
    <n v="84324"/>
    <n v="1"/>
  </r>
  <r>
    <x v="141"/>
    <x v="1"/>
    <x v="2"/>
    <x v="2"/>
    <d v="2020-10-20T00:00:00"/>
    <n v="75970"/>
    <s v="Average"/>
    <x v="1"/>
    <x v="125"/>
    <n v="91164"/>
    <n v="1"/>
  </r>
  <r>
    <x v="142"/>
    <x v="1"/>
    <x v="3"/>
    <x v="8"/>
    <d v="2022-03-05T00:00:00"/>
    <n v="83750"/>
    <s v="Average"/>
    <x v="1"/>
    <x v="86"/>
    <n v="100500"/>
    <n v="1"/>
  </r>
  <r>
    <x v="143"/>
    <x v="0"/>
    <x v="1"/>
    <x v="5"/>
    <d v="2022-02-15T00:00:00"/>
    <n v="60570"/>
    <s v="Average"/>
    <x v="1"/>
    <x v="126"/>
    <n v="72684"/>
    <n v="1"/>
  </r>
  <r>
    <x v="144"/>
    <x v="0"/>
    <x v="1"/>
    <x v="6"/>
    <d v="2020-09-29T00:00:00"/>
    <n v="115920"/>
    <s v="Average"/>
    <x v="1"/>
    <x v="127"/>
    <n v="139104"/>
    <n v="1"/>
  </r>
  <r>
    <x v="145"/>
    <x v="1"/>
    <x v="2"/>
    <x v="6"/>
    <d v="2020-06-24T00:00:00"/>
    <n v="65360"/>
    <s v="Average"/>
    <x v="1"/>
    <x v="128"/>
    <n v="78432"/>
    <n v="1"/>
  </r>
  <r>
    <x v="146"/>
    <x v="2"/>
    <x v="2"/>
    <x v="5"/>
    <d v="2021-12-05T00:00:00"/>
    <n v="64000"/>
    <s v="Average"/>
    <x v="1"/>
    <x v="129"/>
    <n v="76800"/>
    <n v="1"/>
  </r>
  <r>
    <x v="147"/>
    <x v="1"/>
    <x v="2"/>
    <x v="15"/>
    <d v="2021-07-06T00:00:00"/>
    <n v="92450"/>
    <s v="Average"/>
    <x v="1"/>
    <x v="11"/>
    <n v="110940"/>
    <n v="1"/>
  </r>
  <r>
    <x v="148"/>
    <x v="1"/>
    <x v="3"/>
    <x v="12"/>
    <d v="2021-05-04T00:00:00"/>
    <n v="104410"/>
    <s v="Average"/>
    <x v="1"/>
    <x v="130"/>
    <n v="125292"/>
    <n v="1"/>
  </r>
  <r>
    <x v="149"/>
    <x v="0"/>
    <x v="3"/>
    <x v="9"/>
    <d v="2020-10-15T00:00:00"/>
    <n v="112110"/>
    <s v="Poor"/>
    <x v="1"/>
    <x v="131"/>
    <n v="134532"/>
    <n v="1"/>
  </r>
  <r>
    <x v="150"/>
    <x v="0"/>
    <x v="3"/>
    <x v="6"/>
    <d v="2021-09-09T00:00:00"/>
    <n v="53870"/>
    <s v="Average"/>
    <x v="1"/>
    <x v="132"/>
    <n v="64644"/>
    <n v="1"/>
  </r>
  <r>
    <x v="151"/>
    <x v="1"/>
    <x v="0"/>
    <x v="11"/>
    <d v="2021-10-07T00:00:00"/>
    <n v="68900"/>
    <s v="Poor"/>
    <x v="1"/>
    <x v="133"/>
    <n v="82680"/>
    <n v="1"/>
  </r>
  <r>
    <x v="152"/>
    <x v="0"/>
    <x v="0"/>
    <x v="4"/>
    <d v="2021-07-26T00:00:00"/>
    <n v="53540"/>
    <s v="Average"/>
    <x v="1"/>
    <x v="134"/>
    <n v="64248"/>
    <n v="1"/>
  </r>
  <r>
    <x v="153"/>
    <x v="0"/>
    <x v="0"/>
    <x v="2"/>
    <d v="2022-07-16T00:00:00"/>
    <n v="43510"/>
    <s v="Very poor"/>
    <x v="1"/>
    <x v="1"/>
    <n v="52212"/>
    <n v="1"/>
  </r>
  <r>
    <x v="154"/>
    <x v="1"/>
    <x v="0"/>
    <x v="19"/>
    <d v="2021-04-30T00:00:00"/>
    <n v="109160"/>
    <s v="Exceptional"/>
    <x v="1"/>
    <x v="135"/>
    <n v="130992"/>
    <n v="1"/>
  </r>
  <r>
    <x v="155"/>
    <x v="0"/>
    <x v="1"/>
    <x v="12"/>
    <d v="2021-01-08T00:00:00"/>
    <n v="99750"/>
    <s v="Average"/>
    <x v="1"/>
    <x v="136"/>
    <n v="119700"/>
    <n v="1"/>
  </r>
  <r>
    <x v="156"/>
    <x v="1"/>
    <x v="3"/>
    <x v="14"/>
    <d v="2022-02-12T00:00:00"/>
    <n v="58100"/>
    <s v="Average"/>
    <x v="1"/>
    <x v="137"/>
    <n v="69720"/>
    <n v="1"/>
  </r>
  <r>
    <x v="157"/>
    <x v="0"/>
    <x v="2"/>
    <x v="17"/>
    <d v="2021-03-17T00:00:00"/>
    <n v="71380"/>
    <s v="Average"/>
    <x v="1"/>
    <x v="138"/>
    <n v="85656"/>
    <n v="1"/>
  </r>
  <r>
    <x v="158"/>
    <x v="0"/>
    <x v="1"/>
    <x v="8"/>
    <d v="2021-12-17T00:00:00"/>
    <n v="113280"/>
    <s v="Very poor"/>
    <x v="1"/>
    <x v="139"/>
    <n v="135936"/>
    <n v="1"/>
  </r>
  <r>
    <x v="159"/>
    <x v="1"/>
    <x v="2"/>
    <x v="6"/>
    <d v="2022-07-05T00:00:00"/>
    <n v="86570"/>
    <s v="Average"/>
    <x v="1"/>
    <x v="140"/>
    <n v="103884"/>
    <n v="1"/>
  </r>
  <r>
    <x v="160"/>
    <x v="0"/>
    <x v="1"/>
    <x v="21"/>
    <d v="2021-06-03T00:00:00"/>
    <n v="53540"/>
    <s v="Average"/>
    <x v="1"/>
    <x v="141"/>
    <n v="64248"/>
    <n v="1"/>
  </r>
  <r>
    <x v="161"/>
    <x v="0"/>
    <x v="3"/>
    <x v="5"/>
    <d v="2021-01-18T00:00:00"/>
    <n v="69120"/>
    <s v="Average"/>
    <x v="1"/>
    <x v="142"/>
    <n v="82944"/>
    <n v="1"/>
  </r>
  <r>
    <x v="162"/>
    <x v="1"/>
    <x v="2"/>
    <x v="5"/>
    <d v="2021-05-12T00:00:00"/>
    <n v="67910"/>
    <s v="Poor"/>
    <x v="1"/>
    <x v="143"/>
    <n v="81492"/>
    <n v="1"/>
  </r>
  <r>
    <x v="163"/>
    <x v="1"/>
    <x v="3"/>
    <x v="24"/>
    <d v="2023-02-28T00:00:00"/>
    <n v="114870"/>
    <s v="Average"/>
    <x v="1"/>
    <x v="144"/>
    <n v="0"/>
    <n v="0"/>
  </r>
  <r>
    <x v="164"/>
    <x v="1"/>
    <x v="2"/>
    <x v="15"/>
    <d v="2021-12-20T00:00:00"/>
    <n v="60130"/>
    <s v="Average"/>
    <x v="1"/>
    <x v="145"/>
    <n v="72156"/>
    <n v="1"/>
  </r>
  <r>
    <x v="165"/>
    <x v="0"/>
    <x v="1"/>
    <x v="22"/>
    <d v="2021-07-01T00:00:00"/>
    <n v="106460"/>
    <s v="Average"/>
    <x v="1"/>
    <x v="146"/>
    <n v="127752"/>
    <n v="1"/>
  </r>
  <r>
    <x v="166"/>
    <x v="1"/>
    <x v="4"/>
    <x v="3"/>
    <d v="2021-07-12T00:00:00"/>
    <n v="118100"/>
    <s v="Average"/>
    <x v="1"/>
    <x v="20"/>
    <n v="141720"/>
    <n v="1"/>
  </r>
  <r>
    <x v="167"/>
    <x v="1"/>
    <x v="1"/>
    <x v="17"/>
    <d v="2021-09-29T00:00:00"/>
    <n v="78390"/>
    <s v="Average"/>
    <x v="1"/>
    <x v="147"/>
    <n v="94068"/>
    <n v="1"/>
  </r>
  <r>
    <x v="168"/>
    <x v="1"/>
    <x v="1"/>
    <x v="5"/>
    <d v="2022-08-16T00:00:00"/>
    <n v="114180"/>
    <s v="Average"/>
    <x v="1"/>
    <x v="148"/>
    <n v="137016"/>
    <n v="1"/>
  </r>
  <r>
    <x v="169"/>
    <x v="1"/>
    <x v="1"/>
    <x v="2"/>
    <d v="2022-01-29T00:00:00"/>
    <n v="104120"/>
    <s v="Average"/>
    <x v="1"/>
    <x v="149"/>
    <n v="124944"/>
    <n v="1"/>
  </r>
  <r>
    <x v="170"/>
    <x v="0"/>
    <x v="1"/>
    <x v="5"/>
    <d v="2022-03-20T00:00:00"/>
    <n v="67950"/>
    <s v="Average"/>
    <x v="1"/>
    <x v="119"/>
    <n v="81540"/>
    <n v="1"/>
  </r>
  <r>
    <x v="171"/>
    <x v="2"/>
    <x v="3"/>
    <x v="4"/>
    <d v="2022-06-01T00:00:00"/>
    <n v="91310"/>
    <s v="Average"/>
    <x v="1"/>
    <x v="150"/>
    <n v="109572"/>
    <n v="1"/>
  </r>
  <r>
    <x v="172"/>
    <x v="0"/>
    <x v="3"/>
    <x v="5"/>
    <d v="2022-08-16T00:00:00"/>
    <n v="69710"/>
    <s v="Average"/>
    <x v="1"/>
    <x v="148"/>
    <n v="83652"/>
    <n v="1"/>
  </r>
  <r>
    <x v="173"/>
    <x v="1"/>
    <x v="3"/>
    <x v="13"/>
    <d v="2022-02-27T00:00:00"/>
    <n v="33920"/>
    <s v="Average"/>
    <x v="1"/>
    <x v="151"/>
    <n v="40704"/>
    <n v="1"/>
  </r>
  <r>
    <x v="174"/>
    <x v="0"/>
    <x v="0"/>
    <x v="10"/>
    <d v="2021-05-06T00:00:00"/>
    <n v="65700"/>
    <s v="Average"/>
    <x v="1"/>
    <x v="152"/>
    <n v="78840"/>
    <n v="1"/>
  </r>
  <r>
    <x v="175"/>
    <x v="1"/>
    <x v="3"/>
    <x v="9"/>
    <d v="2020-05-11T00:00:00"/>
    <n v="34980"/>
    <s v="Average"/>
    <x v="1"/>
    <x v="153"/>
    <n v="41976"/>
    <n v="1"/>
  </r>
  <r>
    <x v="176"/>
    <x v="1"/>
    <x v="3"/>
    <x v="6"/>
    <d v="2020-10-25T00:00:00"/>
    <n v="96140"/>
    <s v="Average"/>
    <x v="1"/>
    <x v="154"/>
    <n v="115368"/>
    <n v="1"/>
  </r>
  <r>
    <x v="177"/>
    <x v="1"/>
    <x v="0"/>
    <x v="17"/>
    <d v="2021-08-25T00:00:00"/>
    <n v="78540"/>
    <s v="Average"/>
    <x v="1"/>
    <x v="155"/>
    <n v="94248"/>
    <n v="1"/>
  </r>
  <r>
    <x v="178"/>
    <x v="0"/>
    <x v="1"/>
    <x v="18"/>
    <d v="2021-01-22T00:00:00"/>
    <n v="58960"/>
    <s v="Average"/>
    <x v="1"/>
    <x v="156"/>
    <n v="70752"/>
    <n v="1"/>
  </r>
  <r>
    <x v="179"/>
    <x v="0"/>
    <x v="1"/>
    <x v="1"/>
    <d v="2022-05-16T00:00:00"/>
    <n v="70610"/>
    <s v="Average"/>
    <x v="1"/>
    <x v="157"/>
    <n v="84732"/>
    <n v="1"/>
  </r>
  <r>
    <x v="180"/>
    <x v="0"/>
    <x v="2"/>
    <x v="6"/>
    <d v="2020-12-16T00:00:00"/>
    <n v="59430"/>
    <s v="Average"/>
    <x v="1"/>
    <x v="158"/>
    <n v="71316"/>
    <n v="1"/>
  </r>
  <r>
    <x v="181"/>
    <x v="0"/>
    <x v="1"/>
    <x v="6"/>
    <d v="2022-03-20T00:00:00"/>
    <n v="48530"/>
    <s v="Above average"/>
    <x v="1"/>
    <x v="119"/>
    <n v="58236"/>
    <n v="1"/>
  </r>
  <r>
    <x v="182"/>
    <x v="1"/>
    <x v="3"/>
    <x v="4"/>
    <d v="2021-04-07T00:00:00"/>
    <n v="43840"/>
    <s v="Above average"/>
    <x v="1"/>
    <x v="159"/>
    <n v="52608"/>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5A4701-A0B9-4485-8BBC-B696BCD5AF52}" name="Highest_earn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J5:K16" firstHeaderRow="1" firstDataRow="1" firstDataCol="1"/>
  <pivotFields count="11">
    <pivotField axis="axisRow" showAll="0" measureFilter="1" sortType="ascending">
      <items count="184">
        <item x="174"/>
        <item x="42"/>
        <item x="122"/>
        <item x="104"/>
        <item x="40"/>
        <item x="63"/>
        <item x="91"/>
        <item x="1"/>
        <item x="92"/>
        <item x="57"/>
        <item x="127"/>
        <item x="132"/>
        <item x="76"/>
        <item x="103"/>
        <item x="180"/>
        <item x="98"/>
        <item x="105"/>
        <item x="25"/>
        <item x="155"/>
        <item x="54"/>
        <item x="3"/>
        <item x="35"/>
        <item x="10"/>
        <item x="28"/>
        <item x="101"/>
        <item x="78"/>
        <item x="22"/>
        <item x="30"/>
        <item x="79"/>
        <item x="140"/>
        <item x="70"/>
        <item x="71"/>
        <item x="160"/>
        <item x="72"/>
        <item x="80"/>
        <item x="85"/>
        <item x="24"/>
        <item x="100"/>
        <item x="106"/>
        <item x="107"/>
        <item x="147"/>
        <item x="68"/>
        <item x="64"/>
        <item x="151"/>
        <item x="129"/>
        <item x="18"/>
        <item x="82"/>
        <item x="37"/>
        <item x="88"/>
        <item x="86"/>
        <item x="77"/>
        <item x="6"/>
        <item x="23"/>
        <item x="9"/>
        <item x="51"/>
        <item x="108"/>
        <item x="112"/>
        <item x="152"/>
        <item x="87"/>
        <item x="116"/>
        <item x="32"/>
        <item x="74"/>
        <item x="125"/>
        <item x="38"/>
        <item x="5"/>
        <item x="117"/>
        <item x="118"/>
        <item x="66"/>
        <item x="73"/>
        <item x="4"/>
        <item x="124"/>
        <item x="21"/>
        <item x="46"/>
        <item x="158"/>
        <item x="141"/>
        <item x="126"/>
        <item x="134"/>
        <item x="50"/>
        <item x="62"/>
        <item x="29"/>
        <item x="13"/>
        <item x="166"/>
        <item x="139"/>
        <item x="162"/>
        <item x="81"/>
        <item x="135"/>
        <item x="14"/>
        <item x="11"/>
        <item x="39"/>
        <item x="17"/>
        <item x="45"/>
        <item x="145"/>
        <item x="75"/>
        <item x="128"/>
        <item x="136"/>
        <item x="157"/>
        <item x="142"/>
        <item x="164"/>
        <item x="43"/>
        <item x="48"/>
        <item x="0"/>
        <item x="33"/>
        <item x="61"/>
        <item x="94"/>
        <item x="159"/>
        <item x="56"/>
        <item x="170"/>
        <item x="120"/>
        <item x="69"/>
        <item x="148"/>
        <item x="143"/>
        <item x="67"/>
        <item x="26"/>
        <item x="96"/>
        <item x="102"/>
        <item x="44"/>
        <item x="12"/>
        <item x="83"/>
        <item x="53"/>
        <item x="114"/>
        <item x="149"/>
        <item x="27"/>
        <item x="20"/>
        <item x="65"/>
        <item x="16"/>
        <item x="181"/>
        <item x="150"/>
        <item x="156"/>
        <item x="119"/>
        <item x="97"/>
        <item x="55"/>
        <item x="161"/>
        <item x="163"/>
        <item x="179"/>
        <item x="31"/>
        <item x="171"/>
        <item x="153"/>
        <item x="167"/>
        <item x="165"/>
        <item x="95"/>
        <item x="131"/>
        <item x="111"/>
        <item x="144"/>
        <item x="168"/>
        <item x="169"/>
        <item x="93"/>
        <item x="154"/>
        <item x="19"/>
        <item x="138"/>
        <item x="89"/>
        <item x="172"/>
        <item x="137"/>
        <item x="121"/>
        <item x="115"/>
        <item x="110"/>
        <item x="173"/>
        <item x="177"/>
        <item x="41"/>
        <item x="15"/>
        <item x="175"/>
        <item x="176"/>
        <item x="133"/>
        <item x="2"/>
        <item x="49"/>
        <item x="84"/>
        <item x="36"/>
        <item x="52"/>
        <item x="109"/>
        <item x="146"/>
        <item x="58"/>
        <item x="47"/>
        <item x="130"/>
        <item x="123"/>
        <item x="7"/>
        <item x="178"/>
        <item x="34"/>
        <item x="59"/>
        <item x="113"/>
        <item x="8"/>
        <item x="60"/>
        <item x="182"/>
        <item x="99"/>
        <item x="90"/>
        <item t="default"/>
      </items>
      <autoSortScope>
        <pivotArea dataOnly="0" outline="0" fieldPosition="0">
          <references count="1">
            <reference field="4294967294" count="1" selected="0">
              <x v="0"/>
            </reference>
          </references>
        </pivotArea>
      </autoSortScope>
    </pivotField>
    <pivotField showAll="0"/>
    <pivotField showAll="0">
      <items count="6">
        <item x="2"/>
        <item x="4"/>
        <item x="1"/>
        <item x="0"/>
        <item x="3"/>
        <item t="default"/>
      </items>
    </pivotField>
    <pivotField showAll="0"/>
    <pivotField numFmtId="14" showAll="0"/>
    <pivotField dataField="1" numFmtId="164" showAll="0"/>
    <pivotField showAll="0"/>
    <pivotField showAll="0">
      <items count="3">
        <item x="1"/>
        <item x="0"/>
        <item t="default"/>
      </items>
    </pivotField>
    <pivotField numFmtId="1" showAll="0"/>
    <pivotField numFmtId="165" showAll="0"/>
    <pivotField numFmtId="1" showAll="0"/>
  </pivotFields>
  <rowFields count="1">
    <field x="0"/>
  </rowFields>
  <rowItems count="11">
    <i>
      <x v="20"/>
    </i>
    <i>
      <x v="139"/>
    </i>
    <i>
      <x v="134"/>
    </i>
    <i>
      <x v="142"/>
    </i>
    <i>
      <x v="81"/>
    </i>
    <i>
      <x v="169"/>
    </i>
    <i>
      <x v="65"/>
    </i>
    <i>
      <x v="163"/>
    </i>
    <i>
      <x v="10"/>
    </i>
    <i>
      <x v="53"/>
    </i>
    <i t="grand">
      <x/>
    </i>
  </rowItems>
  <colItems count="1">
    <i/>
  </colItems>
  <dataFields count="1">
    <dataField name="Max of Salary" fld="5" subtotal="max" baseField="0" baseItem="65" numFmtId="168"/>
  </dataFields>
  <chartFormats count="1">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1B2310-F9F6-4B71-88FE-98219E453018}" name="Count_Bon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X14:X15" firstHeaderRow="1" firstDataRow="1" firstDataCol="0"/>
  <pivotFields count="11">
    <pivotField showAll="0"/>
    <pivotField showAll="0"/>
    <pivotField showAll="0">
      <items count="6">
        <item x="2"/>
        <item x="4"/>
        <item x="1"/>
        <item x="0"/>
        <item x="3"/>
        <item t="default"/>
      </items>
    </pivotField>
    <pivotField showAll="0"/>
    <pivotField numFmtId="14" showAll="0"/>
    <pivotField numFmtId="164" showAll="0"/>
    <pivotField showAll="0"/>
    <pivotField showAll="0">
      <items count="3">
        <item x="1"/>
        <item x="0"/>
        <item t="default"/>
      </items>
    </pivotField>
    <pivotField numFmtId="1" showAll="0"/>
    <pivotField numFmtId="165" showAll="0"/>
    <pivotField dataField="1" numFmtId="1" showAll="0"/>
  </pivotFields>
  <rowItems count="1">
    <i/>
  </rowItems>
  <colItems count="1">
    <i/>
  </colItems>
  <dataFields count="1">
    <dataField name="Sum of Count Bonus" fld="10"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BF3035-9755-4D8A-ADC5-BFB0606381F2}" name="Sum_Sal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X9:X10" firstHeaderRow="1" firstDataRow="1" firstDataCol="0"/>
  <pivotFields count="11">
    <pivotField showAll="0"/>
    <pivotField showAll="0"/>
    <pivotField showAll="0">
      <items count="6">
        <item x="2"/>
        <item x="4"/>
        <item x="1"/>
        <item x="0"/>
        <item x="3"/>
        <item t="default"/>
      </items>
    </pivotField>
    <pivotField showAll="0"/>
    <pivotField numFmtId="14" showAll="0"/>
    <pivotField dataField="1" numFmtId="164" showAll="0"/>
    <pivotField showAll="0"/>
    <pivotField showAll="0">
      <items count="3">
        <item x="1"/>
        <item x="0"/>
        <item t="default"/>
      </items>
    </pivotField>
    <pivotField numFmtId="1" showAll="0"/>
    <pivotField numFmtId="165" showAll="0"/>
    <pivotField numFmtId="1" showAll="0"/>
  </pivotFields>
  <rowItems count="1">
    <i/>
  </rowItems>
  <colItems count="1">
    <i/>
  </colItems>
  <dataFields count="1">
    <dataField name="Sum of Salary" fld="5" baseField="0" baseItem="0" numFmtId="168"/>
  </dataField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447886-42C8-45AD-87C9-38C289C0EF0C}" name="Average_Salary_per_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M5:N9" firstHeaderRow="1" firstDataRow="1" firstDataCol="1"/>
  <pivotFields count="11">
    <pivotField showAll="0" measureFilter="1" sortType="ascending">
      <autoSortScope>
        <pivotArea dataOnly="0" outline="0" fieldPosition="0">
          <references count="1">
            <reference field="4294967294" count="1" selected="0">
              <x v="0"/>
            </reference>
          </references>
        </pivotArea>
      </autoSortScope>
    </pivotField>
    <pivotField axis="axisRow" showAll="0">
      <items count="4">
        <item x="1"/>
        <item x="0"/>
        <item x="2"/>
        <item t="default"/>
      </items>
    </pivotField>
    <pivotField showAll="0">
      <items count="6">
        <item x="2"/>
        <item x="4"/>
        <item x="1"/>
        <item x="0"/>
        <item x="3"/>
        <item t="default"/>
      </items>
    </pivotField>
    <pivotField showAll="0"/>
    <pivotField numFmtId="14" showAll="0"/>
    <pivotField dataField="1" numFmtId="164" showAll="0"/>
    <pivotField showAll="0"/>
    <pivotField showAll="0">
      <items count="3">
        <item x="1"/>
        <item x="0"/>
        <item t="default"/>
      </items>
    </pivotField>
    <pivotField numFmtId="1" showAll="0"/>
    <pivotField numFmtId="165" showAll="0"/>
    <pivotField numFmtId="1" showAll="0"/>
  </pivotFields>
  <rowFields count="1">
    <field x="1"/>
  </rowFields>
  <rowItems count="4">
    <i>
      <x/>
    </i>
    <i>
      <x v="1"/>
    </i>
    <i>
      <x v="2"/>
    </i>
    <i t="grand">
      <x/>
    </i>
  </rowItems>
  <colItems count="1">
    <i/>
  </colItems>
  <dataFields count="1">
    <dataField name="Average of Salary" fld="5" subtotal="average" baseField="1" baseItem="1" numFmtId="168"/>
  </dataFields>
  <chartFormats count="6">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 chart="31" format="6">
      <pivotArea type="data" outline="0" fieldPosition="0">
        <references count="2">
          <reference field="4294967294" count="1" selected="0">
            <x v="0"/>
          </reference>
          <reference field="1" count="1" selected="0">
            <x v="0"/>
          </reference>
        </references>
      </pivotArea>
    </chartFormat>
    <chartFormat chart="31" format="7">
      <pivotArea type="data" outline="0" fieldPosition="0">
        <references count="2">
          <reference field="4294967294" count="1" selected="0">
            <x v="0"/>
          </reference>
          <reference field="1" count="1" selected="0">
            <x v="1"/>
          </reference>
        </references>
      </pivotArea>
    </chartFormat>
    <chartFormat chart="31"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BAA401-6F83-4C88-987E-EF0E421F7E48}" name="Number of Employe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X5:X6" firstHeaderRow="1" firstDataRow="1" firstDataCol="0"/>
  <pivotFields count="11">
    <pivotField showAll="0"/>
    <pivotField showAll="0"/>
    <pivotField showAll="0">
      <items count="6">
        <item x="2"/>
        <item x="4"/>
        <item x="1"/>
        <item x="0"/>
        <item x="3"/>
        <item t="default"/>
      </items>
    </pivotField>
    <pivotField showAll="0"/>
    <pivotField numFmtId="14" showAll="0"/>
    <pivotField dataField="1" numFmtId="164" showAll="0"/>
    <pivotField showAll="0"/>
    <pivotField showAll="0">
      <items count="3">
        <item x="1"/>
        <item x="0"/>
        <item t="default"/>
      </items>
    </pivotField>
    <pivotField numFmtId="1" showAll="0"/>
    <pivotField numFmtId="165" showAll="0"/>
    <pivotField numFmtId="1" showAll="0"/>
  </pivotFields>
  <rowItems count="1">
    <i/>
  </rowItems>
  <colItems count="1">
    <i/>
  </colItems>
  <dataFields count="1">
    <dataField name="Count of Salary"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858C75-15DC-4CB0-BACB-F396216612C9}" name="Number_of_emplye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0">
  <location ref="P5:Q9" firstHeaderRow="1" firstDataRow="1" firstDataCol="1"/>
  <pivotFields count="11">
    <pivotField showAll="0" measureFilter="1" sortType="ascending">
      <autoSortScope>
        <pivotArea dataOnly="0" outline="0" fieldPosition="0">
          <references count="1">
            <reference field="4294967294" count="1" selected="0">
              <x v="0"/>
            </reference>
          </references>
        </pivotArea>
      </autoSortScope>
    </pivotField>
    <pivotField axis="axisRow" showAll="0">
      <items count="4">
        <item x="1"/>
        <item x="0"/>
        <item x="2"/>
        <item t="default"/>
      </items>
    </pivotField>
    <pivotField showAll="0">
      <items count="6">
        <item x="2"/>
        <item x="4"/>
        <item x="1"/>
        <item x="0"/>
        <item x="3"/>
        <item t="default"/>
      </items>
    </pivotField>
    <pivotField showAll="0"/>
    <pivotField numFmtId="14" showAll="0"/>
    <pivotField dataField="1" numFmtId="164" showAll="0"/>
    <pivotField showAll="0"/>
    <pivotField showAll="0">
      <items count="3">
        <item x="1"/>
        <item x="0"/>
        <item t="default"/>
      </items>
    </pivotField>
    <pivotField numFmtId="1" showAll="0"/>
    <pivotField numFmtId="165" showAll="0"/>
    <pivotField numFmtId="1" showAll="0"/>
  </pivotFields>
  <rowFields count="1">
    <field x="1"/>
  </rowFields>
  <rowItems count="4">
    <i>
      <x/>
    </i>
    <i>
      <x v="1"/>
    </i>
    <i>
      <x v="2"/>
    </i>
    <i t="grand">
      <x/>
    </i>
  </rowItems>
  <colItems count="1">
    <i/>
  </colItems>
  <dataFields count="1">
    <dataField name="Count of Salary" fld="5" subtotal="count" baseField="1" baseItem="0"/>
  </dataFields>
  <chartFormats count="11">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 chart="31" format="6">
      <pivotArea type="data" outline="0" fieldPosition="0">
        <references count="2">
          <reference field="4294967294" count="1" selected="0">
            <x v="0"/>
          </reference>
          <reference field="1" count="1" selected="0">
            <x v="0"/>
          </reference>
        </references>
      </pivotArea>
    </chartFormat>
    <chartFormat chart="31" format="7">
      <pivotArea type="data" outline="0" fieldPosition="0">
        <references count="2">
          <reference field="4294967294" count="1" selected="0">
            <x v="0"/>
          </reference>
          <reference field="1" count="1" selected="0">
            <x v="1"/>
          </reference>
        </references>
      </pivotArea>
    </chartFormat>
    <chartFormat chart="31" format="8">
      <pivotArea type="data" outline="0" fieldPosition="0">
        <references count="2">
          <reference field="4294967294" count="1" selected="0">
            <x v="0"/>
          </reference>
          <reference field="1" count="1" selected="0">
            <x v="2"/>
          </reference>
        </references>
      </pivotArea>
    </chartFormat>
    <chartFormat chart="52" format="2" series="1">
      <pivotArea type="data" outline="0" fieldPosition="0">
        <references count="1">
          <reference field="4294967294" count="1" selected="0">
            <x v="0"/>
          </reference>
        </references>
      </pivotArea>
    </chartFormat>
    <chartFormat chart="52" format="3">
      <pivotArea type="data" outline="0" fieldPosition="0">
        <references count="2">
          <reference field="4294967294" count="1" selected="0">
            <x v="0"/>
          </reference>
          <reference field="1" count="1" selected="0">
            <x v="0"/>
          </reference>
        </references>
      </pivotArea>
    </chartFormat>
    <chartFormat chart="52" format="4">
      <pivotArea type="data" outline="0" fieldPosition="0">
        <references count="2">
          <reference field="4294967294" count="1" selected="0">
            <x v="0"/>
          </reference>
          <reference field="1" count="1" selected="0">
            <x v="2"/>
          </reference>
        </references>
      </pivotArea>
    </chartFormat>
    <chartFormat chart="52" format="5">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9F8838-251C-4CFA-8567-B7D095228F3E}" name="Average_salary_per_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G5:H31" firstHeaderRow="1" firstDataRow="1" firstDataCol="1"/>
  <pivotFields count="11">
    <pivotField showAll="0"/>
    <pivotField showAll="0"/>
    <pivotField showAll="0">
      <items count="6">
        <item x="2"/>
        <item x="4"/>
        <item x="1"/>
        <item x="0"/>
        <item x="3"/>
        <item t="default"/>
      </items>
    </pivotField>
    <pivotField axis="axisRow" showAll="0">
      <items count="26">
        <item x="18"/>
        <item x="11"/>
        <item x="13"/>
        <item x="0"/>
        <item x="22"/>
        <item x="7"/>
        <item x="10"/>
        <item x="21"/>
        <item x="8"/>
        <item x="2"/>
        <item x="9"/>
        <item x="5"/>
        <item x="14"/>
        <item x="4"/>
        <item x="6"/>
        <item x="15"/>
        <item x="23"/>
        <item x="17"/>
        <item x="3"/>
        <item x="19"/>
        <item x="12"/>
        <item x="16"/>
        <item x="20"/>
        <item x="24"/>
        <item x="1"/>
        <item t="default"/>
      </items>
    </pivotField>
    <pivotField numFmtId="14" showAll="0"/>
    <pivotField dataField="1" numFmtId="164" showAll="0"/>
    <pivotField showAll="0"/>
    <pivotField showAll="0">
      <items count="3">
        <item x="1"/>
        <item x="0"/>
        <item t="default"/>
      </items>
    </pivotField>
    <pivotField numFmtId="1" showAll="0"/>
    <pivotField numFmtId="165" showAll="0"/>
    <pivotField numFmtId="1" showAll="0"/>
  </pivotFields>
  <rowFields count="1">
    <field x="3"/>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Average of Salary" fld="5" subtotal="average" baseField="3" baseItem="9" numFmtId="168"/>
  </dataFields>
  <chartFormats count="2">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CADB8A1-5D0B-456B-A846-29A17E3D4CEF}" name="Average_salary_per_depar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5:E12" firstHeaderRow="1" firstDataRow="2" firstDataCol="1"/>
  <pivotFields count="11">
    <pivotField showAll="0"/>
    <pivotField axis="axisCol" showAll="0">
      <items count="4">
        <item x="1"/>
        <item x="0"/>
        <item x="2"/>
        <item t="default"/>
      </items>
    </pivotField>
    <pivotField axis="axisRow" showAll="0">
      <items count="6">
        <item x="2"/>
        <item x="4"/>
        <item x="1"/>
        <item x="0"/>
        <item x="3"/>
        <item t="default"/>
      </items>
    </pivotField>
    <pivotField showAll="0"/>
    <pivotField numFmtId="14" showAll="0"/>
    <pivotField dataField="1" numFmtId="164" showAll="0"/>
    <pivotField showAll="0"/>
    <pivotField showAll="0">
      <items count="3">
        <item x="1"/>
        <item x="0"/>
        <item t="default"/>
      </items>
    </pivotField>
    <pivotField numFmtId="1" showAll="0"/>
    <pivotField numFmtId="165" showAll="0"/>
    <pivotField numFmtId="1" showAll="0"/>
  </pivotFields>
  <rowFields count="1">
    <field x="2"/>
  </rowFields>
  <rowItems count="6">
    <i>
      <x/>
    </i>
    <i>
      <x v="1"/>
    </i>
    <i>
      <x v="2"/>
    </i>
    <i>
      <x v="3"/>
    </i>
    <i>
      <x v="4"/>
    </i>
    <i t="grand">
      <x/>
    </i>
  </rowItems>
  <colFields count="1">
    <field x="1"/>
  </colFields>
  <colItems count="4">
    <i>
      <x/>
    </i>
    <i>
      <x v="1"/>
    </i>
    <i>
      <x v="2"/>
    </i>
    <i t="grand">
      <x/>
    </i>
  </colItems>
  <dataFields count="1">
    <dataField name="Average of Salary" fld="5" subtotal="average" baseField="2" baseItem="0" numFmtId="168"/>
  </dataFields>
  <chartFormats count="3">
    <chartFormat chart="3" format="6" series="1">
      <pivotArea type="data" outline="0" fieldPosition="0">
        <references count="2">
          <reference field="4294967294" count="1" selected="0">
            <x v="0"/>
          </reference>
          <reference field="1" count="1" selected="0">
            <x v="0"/>
          </reference>
        </references>
      </pivotArea>
    </chartFormat>
    <chartFormat chart="3" format="7" series="1">
      <pivotArea type="data" outline="0" fieldPosition="0">
        <references count="2">
          <reference field="4294967294" count="1" selected="0">
            <x v="0"/>
          </reference>
          <reference field="1" count="1" selected="0">
            <x v="1"/>
          </reference>
        </references>
      </pivotArea>
    </chartFormat>
    <chartFormat chart="3" format="8"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9C55D7-4892-4959-9166-549167843CE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X17:X18" firstHeaderRow="1" firstDataRow="1" firstDataCol="0"/>
  <pivotFields count="11">
    <pivotField showAll="0"/>
    <pivotField showAll="0"/>
    <pivotField showAll="0">
      <items count="6">
        <item x="2"/>
        <item x="4"/>
        <item x="1"/>
        <item x="0"/>
        <item x="3"/>
        <item t="default"/>
      </items>
    </pivotField>
    <pivotField showAll="0"/>
    <pivotField numFmtId="14" showAll="0"/>
    <pivotField dataField="1" numFmtId="164" showAll="0"/>
    <pivotField showAll="0"/>
    <pivotField showAll="0">
      <items count="3">
        <item x="1"/>
        <item x="0"/>
        <item t="default"/>
      </items>
    </pivotField>
    <pivotField numFmtId="1" showAll="0"/>
    <pivotField numFmtId="165" showAll="0"/>
    <pivotField numFmtId="1" showAll="0"/>
  </pivotFields>
  <rowItems count="1">
    <i/>
  </rowItems>
  <colItems count="1">
    <i/>
  </colItems>
  <dataFields count="1">
    <dataField name="Average of Salary" fld="5" subtotal="average" baseField="0" baseItem="0" numFmtId="168"/>
  </dataField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807CAC3-C2BD-4320-B867-8CA7941F4CD4}" name="Tenure_vs_Average_Sal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S5:U166" firstHeaderRow="0" firstDataRow="1" firstDataCol="1"/>
  <pivotFields count="11">
    <pivotField showAll="0"/>
    <pivotField showAll="0"/>
    <pivotField showAll="0">
      <items count="6">
        <item x="2"/>
        <item x="4"/>
        <item x="1"/>
        <item x="0"/>
        <item x="3"/>
        <item t="default"/>
      </items>
    </pivotField>
    <pivotField showAll="0"/>
    <pivotField numFmtId="14" showAll="0"/>
    <pivotField dataField="1" numFmtId="164" showAll="0"/>
    <pivotField showAll="0"/>
    <pivotField showAll="0">
      <items count="3">
        <item x="1"/>
        <item x="0"/>
        <item t="default"/>
      </items>
    </pivotField>
    <pivotField axis="axisRow" numFmtId="1" showAll="0">
      <items count="407">
        <item m="1" x="332"/>
        <item m="1" x="367"/>
        <item m="1" x="297"/>
        <item m="1" x="327"/>
        <item m="1" x="344"/>
        <item m="1" x="321"/>
        <item m="1" x="369"/>
        <item m="1" x="360"/>
        <item m="1" x="312"/>
        <item m="1" x="333"/>
        <item m="1" x="306"/>
        <item m="1" x="294"/>
        <item m="1" x="393"/>
        <item m="1" x="323"/>
        <item m="1" x="349"/>
        <item m="1" x="342"/>
        <item m="1" x="316"/>
        <item m="1" x="318"/>
        <item m="1" x="317"/>
        <item m="1" x="364"/>
        <item m="1" x="353"/>
        <item m="1" x="298"/>
        <item m="1" x="404"/>
        <item x="5"/>
        <item m="1" x="322"/>
        <item x="52"/>
        <item m="1" x="293"/>
        <item m="1" x="381"/>
        <item m="1" x="340"/>
        <item m="1" x="355"/>
        <item m="1" x="309"/>
        <item m="1" x="358"/>
        <item x="78"/>
        <item m="1" x="341"/>
        <item x="40"/>
        <item m="1" x="395"/>
        <item x="109"/>
        <item m="1" x="216"/>
        <item m="1" x="365"/>
        <item m="1" x="343"/>
        <item m="1" x="377"/>
        <item x="24"/>
        <item m="1" x="184"/>
        <item m="1" x="329"/>
        <item x="60"/>
        <item m="1" x="247"/>
        <item m="1" x="366"/>
        <item m="1" x="311"/>
        <item m="1" x="378"/>
        <item m="1" x="203"/>
        <item m="1" x="285"/>
        <item m="1" x="310"/>
        <item m="1" x="363"/>
        <item m="1" x="397"/>
        <item m="1" x="368"/>
        <item m="1" x="392"/>
        <item m="1" x="356"/>
        <item m="1" x="324"/>
        <item m="1" x="385"/>
        <item m="1" x="320"/>
        <item x="71"/>
        <item m="1" x="300"/>
        <item m="1" x="374"/>
        <item m="1" x="315"/>
        <item x="19"/>
        <item m="1" x="387"/>
        <item m="1" x="398"/>
        <item m="1" x="296"/>
        <item m="1" x="303"/>
        <item m="1" x="330"/>
        <item m="1" x="331"/>
        <item m="1" x="402"/>
        <item m="1" x="163"/>
        <item x="28"/>
        <item x="126"/>
        <item m="1" x="319"/>
        <item m="1" x="403"/>
        <item m="1" x="379"/>
        <item m="1" x="350"/>
        <item m="1" x="388"/>
        <item x="22"/>
        <item m="1" x="376"/>
        <item m="1" x="308"/>
        <item m="1" x="361"/>
        <item m="1" x="348"/>
        <item m="1" x="272"/>
        <item x="145"/>
        <item m="1" x="198"/>
        <item m="1" x="260"/>
        <item x="94"/>
        <item m="1" x="371"/>
        <item m="1" x="314"/>
        <item m="1" x="295"/>
        <item m="1" x="304"/>
        <item m="1" x="394"/>
        <item x="117"/>
        <item m="1" x="161"/>
        <item m="1" x="313"/>
        <item m="1" x="328"/>
        <item m="1" x="336"/>
        <item m="1" x="396"/>
        <item m="1" x="354"/>
        <item m="1" x="400"/>
        <item m="1" x="231"/>
        <item m="1" x="338"/>
        <item m="1" x="389"/>
        <item m="1" x="401"/>
        <item m="1" x="347"/>
        <item m="1" x="375"/>
        <item m="1" x="226"/>
        <item m="1" x="259"/>
        <item m="1" x="386"/>
        <item x="72"/>
        <item m="1" x="391"/>
        <item m="1" x="335"/>
        <item m="1" x="351"/>
        <item m="1" x="305"/>
        <item m="1" x="370"/>
        <item m="1" x="276"/>
        <item m="1" x="345"/>
        <item m="1" x="307"/>
        <item x="134"/>
        <item m="1" x="339"/>
        <item x="83"/>
        <item x="76"/>
        <item m="1" x="383"/>
        <item m="1" x="337"/>
        <item m="1" x="390"/>
        <item x="2"/>
        <item m="1" x="274"/>
        <item x="141"/>
        <item m="1" x="405"/>
        <item m="1" x="302"/>
        <item m="1" x="380"/>
        <item m="1" x="192"/>
        <item m="1" x="299"/>
        <item x="90"/>
        <item x="82"/>
        <item m="1" x="352"/>
        <item m="1" x="334"/>
        <item x="118"/>
        <item m="1" x="382"/>
        <item m="1" x="301"/>
        <item m="1" x="372"/>
        <item x="63"/>
        <item m="1" x="167"/>
        <item m="1" x="399"/>
        <item m="1" x="170"/>
        <item m="1" x="268"/>
        <item m="1" x="362"/>
        <item m="1" x="346"/>
        <item m="1" x="373"/>
        <item m="1" x="256"/>
        <item m="1" x="326"/>
        <item x="35"/>
        <item m="1" x="325"/>
        <item m="1" x="384"/>
        <item m="1" x="357"/>
        <item x="154"/>
        <item m="1" x="359"/>
        <item x="121"/>
        <item m="1" x="160"/>
        <item m="1" x="162"/>
        <item m="1" x="164"/>
        <item m="1" x="165"/>
        <item m="1" x="166"/>
        <item x="143"/>
        <item m="1" x="168"/>
        <item m="1" x="169"/>
        <item x="85"/>
        <item m="1" x="171"/>
        <item x="159"/>
        <item m="1" x="172"/>
        <item m="1" x="173"/>
        <item x="45"/>
        <item m="1" x="174"/>
        <item m="1" x="175"/>
        <item m="1" x="176"/>
        <item m="1" x="177"/>
        <item m="1" x="178"/>
        <item m="1" x="179"/>
        <item x="53"/>
        <item m="1" x="180"/>
        <item m="1" x="181"/>
        <item x="97"/>
        <item m="1" x="182"/>
        <item m="1" x="183"/>
        <item x="70"/>
        <item m="1" x="185"/>
        <item m="1" x="186"/>
        <item m="1" x="187"/>
        <item m="1" x="188"/>
        <item m="1" x="189"/>
        <item m="1" x="190"/>
        <item m="1" x="191"/>
        <item m="1" x="193"/>
        <item m="1" x="194"/>
        <item m="1" x="195"/>
        <item x="122"/>
        <item m="1" x="196"/>
        <item m="1" x="197"/>
        <item m="1" x="199"/>
        <item m="1" x="200"/>
        <item m="1" x="201"/>
        <item m="1" x="202"/>
        <item m="1" x="204"/>
        <item m="1" x="205"/>
        <item m="1" x="206"/>
        <item m="1" x="207"/>
        <item m="1" x="208"/>
        <item m="1" x="209"/>
        <item m="1" x="210"/>
        <item m="1" x="211"/>
        <item m="1" x="212"/>
        <item m="1" x="213"/>
        <item x="4"/>
        <item m="1" x="214"/>
        <item m="1" x="215"/>
        <item x="61"/>
        <item m="1" x="217"/>
        <item m="1" x="218"/>
        <item m="1" x="219"/>
        <item x="116"/>
        <item m="1" x="220"/>
        <item x="39"/>
        <item m="1" x="221"/>
        <item m="1" x="222"/>
        <item m="1" x="223"/>
        <item m="1" x="224"/>
        <item m="1" x="225"/>
        <item m="1" x="227"/>
        <item m="1" x="228"/>
        <item m="1" x="229"/>
        <item m="1" x="230"/>
        <item m="1" x="232"/>
        <item m="1" x="233"/>
        <item m="1" x="234"/>
        <item m="1" x="235"/>
        <item x="147"/>
        <item m="1" x="236"/>
        <item m="1" x="237"/>
        <item m="1" x="238"/>
        <item m="1" x="239"/>
        <item m="1" x="240"/>
        <item m="1" x="241"/>
        <item m="1" x="242"/>
        <item m="1" x="243"/>
        <item m="1" x="244"/>
        <item m="1" x="245"/>
        <item m="1" x="246"/>
        <item m="1" x="248"/>
        <item m="1" x="249"/>
        <item x="157"/>
        <item m="1" x="250"/>
        <item m="1" x="251"/>
        <item m="1" x="252"/>
        <item m="1" x="253"/>
        <item m="1" x="254"/>
        <item m="1" x="255"/>
        <item m="1" x="257"/>
        <item m="1" x="258"/>
        <item m="1" x="261"/>
        <item m="1" x="262"/>
        <item m="1" x="263"/>
        <item m="1" x="264"/>
        <item x="152"/>
        <item m="1" x="265"/>
        <item x="138"/>
        <item m="1" x="266"/>
        <item m="1" x="267"/>
        <item m="1" x="269"/>
        <item x="100"/>
        <item m="1" x="270"/>
        <item m="1" x="271"/>
        <item m="1" x="273"/>
        <item m="1" x="275"/>
        <item m="1" x="277"/>
        <item m="1" x="278"/>
        <item m="1" x="279"/>
        <item m="1" x="280"/>
        <item x="133"/>
        <item m="1" x="281"/>
        <item m="1" x="282"/>
        <item m="1" x="283"/>
        <item m="1" x="284"/>
        <item m="1" x="286"/>
        <item m="1" x="287"/>
        <item m="1" x="288"/>
        <item m="1" x="289"/>
        <item m="1" x="290"/>
        <item m="1" x="291"/>
        <item m="1" x="292"/>
        <item x="64"/>
        <item x="47"/>
        <item x="0"/>
        <item x="1"/>
        <item x="3"/>
        <item x="6"/>
        <item x="7"/>
        <item x="8"/>
        <item x="9"/>
        <item x="10"/>
        <item x="11"/>
        <item x="12"/>
        <item x="13"/>
        <item x="14"/>
        <item x="15"/>
        <item x="16"/>
        <item x="17"/>
        <item x="18"/>
        <item x="20"/>
        <item x="21"/>
        <item x="23"/>
        <item x="25"/>
        <item x="26"/>
        <item x="27"/>
        <item x="29"/>
        <item x="30"/>
        <item x="31"/>
        <item x="32"/>
        <item x="33"/>
        <item x="34"/>
        <item x="36"/>
        <item x="37"/>
        <item x="38"/>
        <item x="41"/>
        <item x="42"/>
        <item x="43"/>
        <item x="44"/>
        <item x="46"/>
        <item x="48"/>
        <item x="49"/>
        <item x="50"/>
        <item x="51"/>
        <item x="54"/>
        <item x="55"/>
        <item x="56"/>
        <item x="57"/>
        <item x="58"/>
        <item x="59"/>
        <item x="62"/>
        <item x="65"/>
        <item x="66"/>
        <item x="67"/>
        <item x="68"/>
        <item x="69"/>
        <item x="73"/>
        <item x="74"/>
        <item x="75"/>
        <item x="77"/>
        <item x="79"/>
        <item x="80"/>
        <item x="81"/>
        <item x="84"/>
        <item x="86"/>
        <item x="87"/>
        <item x="88"/>
        <item x="89"/>
        <item x="91"/>
        <item x="92"/>
        <item x="93"/>
        <item x="95"/>
        <item x="96"/>
        <item x="98"/>
        <item x="99"/>
        <item x="101"/>
        <item x="102"/>
        <item x="103"/>
        <item x="104"/>
        <item x="105"/>
        <item x="106"/>
        <item x="107"/>
        <item x="108"/>
        <item x="110"/>
        <item x="111"/>
        <item x="112"/>
        <item x="113"/>
        <item x="114"/>
        <item x="115"/>
        <item x="119"/>
        <item x="120"/>
        <item x="123"/>
        <item x="124"/>
        <item x="125"/>
        <item x="127"/>
        <item x="128"/>
        <item x="129"/>
        <item x="130"/>
        <item x="131"/>
        <item x="132"/>
        <item x="135"/>
        <item x="136"/>
        <item x="137"/>
        <item x="139"/>
        <item x="140"/>
        <item x="142"/>
        <item x="144"/>
        <item x="146"/>
        <item x="148"/>
        <item x="149"/>
        <item x="150"/>
        <item x="151"/>
        <item x="153"/>
        <item x="155"/>
        <item x="156"/>
        <item x="158"/>
        <item t="default"/>
      </items>
    </pivotField>
    <pivotField dataField="1" numFmtId="165" showAll="0"/>
    <pivotField numFmtId="1" showAll="0"/>
  </pivotFields>
  <rowFields count="1">
    <field x="8"/>
  </rowFields>
  <rowItems count="161">
    <i>
      <x v="23"/>
    </i>
    <i>
      <x v="25"/>
    </i>
    <i>
      <x v="32"/>
    </i>
    <i>
      <x v="34"/>
    </i>
    <i>
      <x v="36"/>
    </i>
    <i>
      <x v="41"/>
    </i>
    <i>
      <x v="44"/>
    </i>
    <i>
      <x v="60"/>
    </i>
    <i>
      <x v="64"/>
    </i>
    <i>
      <x v="73"/>
    </i>
    <i>
      <x v="74"/>
    </i>
    <i>
      <x v="80"/>
    </i>
    <i>
      <x v="86"/>
    </i>
    <i>
      <x v="89"/>
    </i>
    <i>
      <x v="95"/>
    </i>
    <i>
      <x v="112"/>
    </i>
    <i>
      <x v="121"/>
    </i>
    <i>
      <x v="123"/>
    </i>
    <i>
      <x v="124"/>
    </i>
    <i>
      <x v="128"/>
    </i>
    <i>
      <x v="130"/>
    </i>
    <i>
      <x v="136"/>
    </i>
    <i>
      <x v="137"/>
    </i>
    <i>
      <x v="140"/>
    </i>
    <i>
      <x v="144"/>
    </i>
    <i>
      <x v="154"/>
    </i>
    <i>
      <x v="158"/>
    </i>
    <i>
      <x v="160"/>
    </i>
    <i>
      <x v="166"/>
    </i>
    <i>
      <x v="169"/>
    </i>
    <i>
      <x v="171"/>
    </i>
    <i>
      <x v="174"/>
    </i>
    <i>
      <x v="181"/>
    </i>
    <i>
      <x v="184"/>
    </i>
    <i>
      <x v="187"/>
    </i>
    <i>
      <x v="198"/>
    </i>
    <i>
      <x v="215"/>
    </i>
    <i>
      <x v="218"/>
    </i>
    <i>
      <x v="222"/>
    </i>
    <i>
      <x v="224"/>
    </i>
    <i>
      <x v="238"/>
    </i>
    <i>
      <x v="252"/>
    </i>
    <i>
      <x v="265"/>
    </i>
    <i>
      <x v="267"/>
    </i>
    <i>
      <x v="271"/>
    </i>
    <i>
      <x v="280"/>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t="grand">
      <x/>
    </i>
  </rowItems>
  <colFields count="1">
    <field x="-2"/>
  </colFields>
  <colItems count="2">
    <i>
      <x/>
    </i>
    <i i="1">
      <x v="1"/>
    </i>
  </colItems>
  <dataFields count="2">
    <dataField name="Average of Salary" fld="5" subtotal="average" baseField="8" baseItem="0" numFmtId="164"/>
    <dataField name="Sum of Bonus"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461AF1B9-11C2-4242-888F-E5EF5BBE1389}" sourceName="Area">
  <pivotTables>
    <pivotTable tabId="10" name="Average_salary_per_age"/>
    <pivotTable tabId="10" name="Average_salary_per_department"/>
    <pivotTable tabId="10" name="Highest_earners"/>
    <pivotTable tabId="10" name="Average_Salary_per_gender"/>
    <pivotTable tabId="10" name="Number_of_emplyees"/>
    <pivotTable tabId="10" name="Tenure_vs_Average_Salary"/>
    <pivotTable tabId="10" name="Number of Employees"/>
    <pivotTable tabId="10" name="Sum_Salary"/>
    <pivotTable tabId="10" name="Count_Bonus"/>
    <pivotTable tabId="10" name="PivotTable1"/>
  </pivotTables>
  <data>
    <tabular pivotCacheId="194599983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0EBDA86-4A3D-4BC4-8978-B9936B259138}" sourceName="Department">
  <pivotTables>
    <pivotTable tabId="10" name="Highest_earners"/>
    <pivotTable tabId="10" name="Average_Salary_per_gender"/>
    <pivotTable tabId="10" name="Average_salary_per_age"/>
    <pivotTable tabId="10" name="Number_of_emplyees"/>
    <pivotTable tabId="10" name="Tenure_vs_Average_Salary"/>
    <pivotTable tabId="10" name="Number of Employees"/>
    <pivotTable tabId="10" name="Sum_Salary"/>
    <pivotTable tabId="10" name="Count_Bonus"/>
    <pivotTable tabId="10" name="PivotTable1"/>
  </pivotTables>
  <data>
    <tabular pivotCacheId="1945999835">
      <items count="5">
        <i x="2" s="1"/>
        <i x="4"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xr10:uid="{907C9888-9BFC-45F9-9E67-8BA1CD058B60}" cache="Slicer_Area" caption="Area" style="SlicerStyleLight3" rowHeight="234950"/>
  <slicer name="Department" xr10:uid="{4A1B973A-4DEF-49DC-913F-30D9DEEE1C79}" cache="Slicer_Department" caption="Department"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Employee_Details" displayName="Employee_Details" ref="B5:L189" totalsRowCount="1">
  <autoFilter ref="B5:L188" xr:uid="{00000000-0009-0000-0100-000004000000}">
    <filterColumn colId="2">
      <filters>
        <filter val="Website"/>
      </filters>
    </filterColumn>
    <filterColumn colId="7">
      <filters>
        <filter val="India"/>
      </filters>
    </filterColumn>
  </autoFilter>
  <sortState xmlns:xlrd2="http://schemas.microsoft.com/office/spreadsheetml/2017/richdata2" ref="B6:L188">
    <sortCondition ref="B5:B188"/>
  </sortState>
  <tableColumns count="11">
    <tableColumn id="1" xr3:uid="{00000000-0010-0000-0000-000001000000}" name="Name"/>
    <tableColumn id="2" xr3:uid="{00000000-0010-0000-0000-000002000000}" name="Gender" totalsRowFunction="custom">
      <totalsRowFormula>SUBTOTAL(103,C6:C188)</totalsRowFormula>
    </tableColumn>
    <tableColumn id="3" xr3:uid="{00000000-0010-0000-0000-000003000000}" name="Department" dataDxfId="25" totalsRowDxfId="24"/>
    <tableColumn id="4" xr3:uid="{00000000-0010-0000-0000-000004000000}" name="Age" totalsRowFunction="custom">
      <totalsRowFormula>SUBTOTAL(101,E6:E188)</totalsRowFormula>
    </tableColumn>
    <tableColumn id="5" xr3:uid="{00000000-0010-0000-0000-000005000000}" name="Date Joined" dataDxfId="23" totalsRowDxfId="22"/>
    <tableColumn id="6" xr3:uid="{00000000-0010-0000-0000-000006000000}" name="Salary" totalsRowFunction="average" dataDxfId="21" totalsRowDxfId="20"/>
    <tableColumn id="7" xr3:uid="{00000000-0010-0000-0000-000007000000}" name="Rating" totalsRowFunction="count" dataDxfId="19" totalsRowDxfId="18"/>
    <tableColumn id="10" xr3:uid="{00000000-0010-0000-0000-00000A000000}" name="Area" dataDxfId="17" totalsRowDxfId="16"/>
    <tableColumn id="11" xr3:uid="{00000000-0010-0000-0000-00000B000000}" name="Tenure" dataDxfId="15" totalsRowDxfId="14">
      <calculatedColumnFormula>(Calculations!$C$19-Employee_Details[[#This Row],[Date Joined]])/360</calculatedColumnFormula>
    </tableColumn>
    <tableColumn id="8" xr3:uid="{00000000-0010-0000-0000-000008000000}" name="Bonus" totalsRowFunction="average" dataDxfId="13" totalsRowDxfId="12">
      <calculatedColumnFormula>IF(Employee_Details[[#This Row],[Tenure]]&gt;4,1.2*Employee_Details[[#This Row],[Salary]],0)</calculatedColumnFormula>
    </tableColumn>
    <tableColumn id="9" xr3:uid="{9FF35B2D-074E-4BE3-BB16-0841C131497F}" name="Count Bonus" dataDxfId="11">
      <calculatedColumnFormula>IF(Employee_Details[[#This Row],[Bonus]]&gt;0,1,0)</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NZ_Staff" displayName="NZ_Staff" ref="C2:J93">
  <autoFilter ref="C2:J93" xr:uid="{00000000-0009-0000-0100-000001000000}"/>
  <tableColumns count="8">
    <tableColumn id="1" xr3:uid="{00000000-0010-0000-0100-000001000000}" name="Name" totalsRowLabel="Total"/>
    <tableColumn id="2" xr3:uid="{00000000-0010-0000-0100-000002000000}" name="Gender" totalsRowFunction="count"/>
    <tableColumn id="3" xr3:uid="{00000000-0010-0000-0100-000003000000}" name="Department"/>
    <tableColumn id="4" xr3:uid="{00000000-0010-0000-0100-000004000000}" name="Age" totalsRowFunction="average"/>
    <tableColumn id="7" xr3:uid="{00000000-0010-0000-0100-000007000000}" name="Rating" totalsRowFunction="count"/>
    <tableColumn id="5" xr3:uid="{00000000-0010-0000-0100-000005000000}" name="Date Joined"/>
    <tableColumn id="6" xr3:uid="{00000000-0010-0000-0100-000006000000}" name="Salary" totalsRowFunction="average" dataDxfId="10"/>
    <tableColumn id="8" xr3:uid="{00000000-0010-0000-0100-000008000000}" name="Area" dataDxfId="9"/>
  </tableColumns>
  <tableStyleInfo name="TableStylePreset2_Dark"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2" displayName="Table2" ref="B2:I95" totalsRowCount="1">
  <autoFilter ref="B2:I94" xr:uid="{00000000-0009-0000-0100-000002000000}"/>
  <tableColumns count="8">
    <tableColumn id="1" xr3:uid="{00000000-0010-0000-0200-000001000000}" name="Name" totalsRowLabel="Total"/>
    <tableColumn id="2" xr3:uid="{00000000-0010-0000-0200-000002000000}" name="Gender" totalsRowFunction="count"/>
    <tableColumn id="6" xr3:uid="{00000000-0010-0000-0200-000006000000}" name="Department"/>
    <tableColumn id="3" xr3:uid="{00000000-0010-0000-0200-000003000000}" name="Age" totalsRowFunction="average"/>
    <tableColumn id="4" xr3:uid="{00000000-0010-0000-0200-000004000000}" name="Rating"/>
    <tableColumn id="5" xr3:uid="{00000000-0010-0000-0200-000005000000}" name="Date Joined" dataDxfId="8"/>
    <tableColumn id="7" xr3:uid="{00000000-0010-0000-0200-000007000000}" name="Salary" totalsRowFunction="sum" dataDxfId="7"/>
    <tableColumn id="8" xr3:uid="{00000000-0010-0000-0200-000008000000}" name="Area" dataDxfId="6"/>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52924-7DC2-4E4A-8815-85DF180CB08F}">
  <sheetPr>
    <tabColor theme="4" tint="-0.249977111117893"/>
    <outlinePr showOutlineSymbols="0"/>
    <pageSetUpPr fitToPage="1"/>
  </sheetPr>
  <dimension ref="E9:AI37"/>
  <sheetViews>
    <sheetView showGridLines="0" tabSelected="1" showOutlineSymbols="0" zoomScale="60" zoomScaleNormal="60" workbookViewId="0">
      <selection activeCell="AU17" sqref="AU17"/>
    </sheetView>
  </sheetViews>
  <sheetFormatPr defaultRowHeight="13.8"/>
  <cols>
    <col min="1" max="2" width="8.88671875" style="35"/>
    <col min="3" max="3" width="14.77734375" style="35" customWidth="1"/>
    <col min="4" max="11" width="8.88671875" style="35"/>
    <col min="12" max="12" width="12" style="35" bestFit="1" customWidth="1"/>
    <col min="13" max="17" width="8.88671875" style="35"/>
    <col min="18" max="18" width="14.109375" style="35" bestFit="1" customWidth="1"/>
    <col min="19" max="27" width="8.88671875" style="35"/>
    <col min="28" max="36" width="0" style="35" hidden="1" customWidth="1"/>
    <col min="37" max="16384" width="8.88671875" style="35"/>
  </cols>
  <sheetData>
    <row r="9" spans="5:24" ht="14.4" customHeight="1">
      <c r="E9" s="92">
        <f>GETPIVOTDATA("Salary",Pivots!$X$5)</f>
        <v>183</v>
      </c>
      <c r="F9" s="92"/>
      <c r="G9" s="92"/>
      <c r="H9" s="92"/>
      <c r="L9" s="94">
        <f>GETPIVOTDATA("Salary",Pivots!$X$9)</f>
        <v>14122790</v>
      </c>
      <c r="M9" s="94"/>
      <c r="N9" s="94"/>
      <c r="Q9" s="93">
        <f>GETPIVOTDATA("Salary",Pivots!$X$17)</f>
        <v>77173.715846994543</v>
      </c>
      <c r="R9" s="93"/>
      <c r="S9" s="93"/>
      <c r="W9" s="91">
        <f>(GETPIVOTDATA("Count Bonus",Pivots!$X$14)/GETPIVOTDATA("Salary",Pivots!$X$5))</f>
        <v>0.98360655737704916</v>
      </c>
      <c r="X9" s="91"/>
    </row>
    <row r="10" spans="5:24" ht="18" customHeight="1">
      <c r="E10" s="92"/>
      <c r="F10" s="92"/>
      <c r="G10" s="92"/>
      <c r="H10" s="92"/>
      <c r="L10" s="94"/>
      <c r="M10" s="94"/>
      <c r="N10" s="94"/>
      <c r="Q10" s="93"/>
      <c r="R10" s="93"/>
      <c r="S10" s="93"/>
      <c r="W10" s="91"/>
      <c r="X10" s="91"/>
    </row>
    <row r="11" spans="5:24" ht="14.4" customHeight="1">
      <c r="W11" s="91"/>
      <c r="X11" s="91"/>
    </row>
    <row r="37" spans="35:35">
      <c r="AI37" s="36"/>
    </row>
  </sheetData>
  <mergeCells count="4">
    <mergeCell ref="W9:X11"/>
    <mergeCell ref="E9:H10"/>
    <mergeCell ref="Q9:S10"/>
    <mergeCell ref="L9:N10"/>
  </mergeCells>
  <pageMargins left="0.7" right="0.7" top="0.75" bottom="0.75" header="0.3" footer="0.3"/>
  <pageSetup paperSize="9" scale="51" orientation="landscape" horizontalDpi="0" verticalDpi="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BEC0A-2907-4DDC-8C48-3EC973B9B49E}">
  <sheetPr>
    <tabColor theme="0" tint="-0.249977111117893"/>
  </sheetPr>
  <dimension ref="B1:R46"/>
  <sheetViews>
    <sheetView showGridLines="0" showRowColHeaders="0" topLeftCell="A4" zoomScale="85" zoomScaleNormal="85" workbookViewId="0">
      <selection activeCell="B23" sqref="B23:R25"/>
    </sheetView>
  </sheetViews>
  <sheetFormatPr defaultRowHeight="13.8"/>
  <cols>
    <col min="1" max="1" width="2.44140625" style="46" customWidth="1"/>
    <col min="2" max="16384" width="8.88671875" style="46"/>
  </cols>
  <sheetData>
    <row r="1" spans="2:18" ht="14.4" thickBot="1"/>
    <row r="2" spans="2:18" ht="13.8" customHeight="1">
      <c r="B2" s="67" t="s">
        <v>235</v>
      </c>
      <c r="C2" s="68"/>
      <c r="D2" s="68"/>
      <c r="E2" s="68"/>
      <c r="F2" s="68"/>
      <c r="G2" s="68"/>
      <c r="H2" s="68"/>
      <c r="I2" s="68"/>
      <c r="J2" s="68"/>
      <c r="K2" s="68"/>
      <c r="L2" s="68"/>
      <c r="M2" s="68"/>
      <c r="N2" s="68"/>
      <c r="O2" s="68"/>
      <c r="P2" s="68"/>
      <c r="Q2" s="68"/>
      <c r="R2" s="69"/>
    </row>
    <row r="3" spans="2:18" ht="13.8" customHeight="1">
      <c r="B3" s="70"/>
      <c r="C3" s="71"/>
      <c r="D3" s="71"/>
      <c r="E3" s="71"/>
      <c r="F3" s="71"/>
      <c r="G3" s="71"/>
      <c r="H3" s="71"/>
      <c r="I3" s="71"/>
      <c r="J3" s="71"/>
      <c r="K3" s="71"/>
      <c r="L3" s="71"/>
      <c r="M3" s="71"/>
      <c r="N3" s="71"/>
      <c r="O3" s="71"/>
      <c r="P3" s="71"/>
      <c r="Q3" s="71"/>
      <c r="R3" s="72"/>
    </row>
    <row r="4" spans="2:18" ht="13.8" customHeight="1">
      <c r="B4" s="70"/>
      <c r="C4" s="71"/>
      <c r="D4" s="71"/>
      <c r="E4" s="71"/>
      <c r="F4" s="71"/>
      <c r="G4" s="71"/>
      <c r="H4" s="71"/>
      <c r="I4" s="71"/>
      <c r="J4" s="71"/>
      <c r="K4" s="71"/>
      <c r="L4" s="71"/>
      <c r="M4" s="71"/>
      <c r="N4" s="71"/>
      <c r="O4" s="71"/>
      <c r="P4" s="71"/>
      <c r="Q4" s="71"/>
      <c r="R4" s="72"/>
    </row>
    <row r="5" spans="2:18" ht="8.4" customHeight="1">
      <c r="B5" s="53"/>
      <c r="C5" s="54"/>
      <c r="D5" s="54"/>
      <c r="E5" s="54"/>
      <c r="F5" s="54"/>
      <c r="G5" s="54"/>
      <c r="H5" s="54"/>
      <c r="I5" s="54"/>
      <c r="J5" s="54"/>
      <c r="K5" s="54"/>
      <c r="L5" s="54"/>
      <c r="M5" s="54"/>
      <c r="N5" s="54"/>
      <c r="O5" s="54"/>
      <c r="P5" s="54"/>
      <c r="Q5" s="54"/>
      <c r="R5" s="55"/>
    </row>
    <row r="6" spans="2:18">
      <c r="B6" s="79" t="s">
        <v>237</v>
      </c>
      <c r="C6" s="89"/>
      <c r="D6" s="89"/>
      <c r="E6" s="89"/>
      <c r="F6" s="89"/>
      <c r="G6" s="89"/>
      <c r="H6" s="89"/>
      <c r="I6" s="89"/>
      <c r="J6" s="89"/>
      <c r="K6" s="89"/>
      <c r="L6" s="89"/>
      <c r="M6" s="89"/>
      <c r="N6" s="89"/>
      <c r="O6" s="89"/>
      <c r="P6" s="89"/>
      <c r="Q6" s="89"/>
      <c r="R6" s="90"/>
    </row>
    <row r="7" spans="2:18">
      <c r="B7" s="79"/>
      <c r="C7" s="89"/>
      <c r="D7" s="89"/>
      <c r="E7" s="89"/>
      <c r="F7" s="89"/>
      <c r="G7" s="89"/>
      <c r="H7" s="89"/>
      <c r="I7" s="89"/>
      <c r="J7" s="89"/>
      <c r="K7" s="89"/>
      <c r="L7" s="89"/>
      <c r="M7" s="89"/>
      <c r="N7" s="89"/>
      <c r="O7" s="89"/>
      <c r="P7" s="89"/>
      <c r="Q7" s="89"/>
      <c r="R7" s="90"/>
    </row>
    <row r="8" spans="2:18">
      <c r="B8" s="79"/>
      <c r="C8" s="89"/>
      <c r="D8" s="89"/>
      <c r="E8" s="89"/>
      <c r="F8" s="89"/>
      <c r="G8" s="89"/>
      <c r="H8" s="89"/>
      <c r="I8" s="89"/>
      <c r="J8" s="89"/>
      <c r="K8" s="89"/>
      <c r="L8" s="89"/>
      <c r="M8" s="89"/>
      <c r="N8" s="89"/>
      <c r="O8" s="89"/>
      <c r="P8" s="89"/>
      <c r="Q8" s="89"/>
      <c r="R8" s="90"/>
    </row>
    <row r="9" spans="2:18">
      <c r="B9" s="47"/>
      <c r="C9" s="48"/>
      <c r="D9" s="48"/>
      <c r="E9" s="48"/>
      <c r="F9" s="48"/>
      <c r="G9" s="48"/>
      <c r="H9" s="48"/>
      <c r="I9" s="48"/>
      <c r="J9" s="48"/>
      <c r="K9" s="48"/>
      <c r="L9" s="48"/>
      <c r="M9" s="48"/>
      <c r="N9" s="48"/>
      <c r="O9" s="48"/>
      <c r="P9" s="48"/>
      <c r="Q9" s="48"/>
      <c r="R9" s="49"/>
    </row>
    <row r="10" spans="2:18">
      <c r="B10" s="86" t="s">
        <v>238</v>
      </c>
      <c r="C10" s="87"/>
      <c r="D10" s="87"/>
      <c r="E10" s="87"/>
      <c r="F10" s="87"/>
      <c r="G10" s="87"/>
      <c r="H10" s="87"/>
      <c r="I10" s="87"/>
      <c r="J10" s="87"/>
      <c r="K10" s="87"/>
      <c r="L10" s="87"/>
      <c r="M10" s="87"/>
      <c r="N10" s="87"/>
      <c r="O10" s="87"/>
      <c r="P10" s="87"/>
      <c r="Q10" s="87"/>
      <c r="R10" s="88"/>
    </row>
    <row r="11" spans="2:18">
      <c r="B11" s="86"/>
      <c r="C11" s="87"/>
      <c r="D11" s="87"/>
      <c r="E11" s="87"/>
      <c r="F11" s="87"/>
      <c r="G11" s="87"/>
      <c r="H11" s="87"/>
      <c r="I11" s="87"/>
      <c r="J11" s="87"/>
      <c r="K11" s="87"/>
      <c r="L11" s="87"/>
      <c r="M11" s="87"/>
      <c r="N11" s="87"/>
      <c r="O11" s="87"/>
      <c r="P11" s="87"/>
      <c r="Q11" s="87"/>
      <c r="R11" s="88"/>
    </row>
    <row r="12" spans="2:18">
      <c r="B12" s="86"/>
      <c r="C12" s="87"/>
      <c r="D12" s="87"/>
      <c r="E12" s="87"/>
      <c r="F12" s="87"/>
      <c r="G12" s="87"/>
      <c r="H12" s="87"/>
      <c r="I12" s="87"/>
      <c r="J12" s="87"/>
      <c r="K12" s="87"/>
      <c r="L12" s="87"/>
      <c r="M12" s="87"/>
      <c r="N12" s="87"/>
      <c r="O12" s="87"/>
      <c r="P12" s="87"/>
      <c r="Q12" s="87"/>
      <c r="R12" s="88"/>
    </row>
    <row r="13" spans="2:18">
      <c r="B13" s="86"/>
      <c r="C13" s="87"/>
      <c r="D13" s="87"/>
      <c r="E13" s="87"/>
      <c r="F13" s="87"/>
      <c r="G13" s="87"/>
      <c r="H13" s="87"/>
      <c r="I13" s="87"/>
      <c r="J13" s="87"/>
      <c r="K13" s="87"/>
      <c r="L13" s="87"/>
      <c r="M13" s="87"/>
      <c r="N13" s="87"/>
      <c r="O13" s="87"/>
      <c r="P13" s="87"/>
      <c r="Q13" s="87"/>
      <c r="R13" s="88"/>
    </row>
    <row r="14" spans="2:18" ht="6" customHeight="1">
      <c r="B14" s="50"/>
      <c r="C14" s="51"/>
      <c r="D14" s="51"/>
      <c r="E14" s="51"/>
      <c r="F14" s="51"/>
      <c r="G14" s="51"/>
      <c r="H14" s="51"/>
      <c r="I14" s="51"/>
      <c r="J14" s="51"/>
      <c r="K14" s="51"/>
      <c r="L14" s="51"/>
      <c r="M14" s="51"/>
      <c r="N14" s="51"/>
      <c r="O14" s="51"/>
      <c r="P14" s="51"/>
      <c r="Q14" s="51"/>
      <c r="R14" s="52"/>
    </row>
    <row r="15" spans="2:18" ht="21" customHeight="1">
      <c r="B15" s="79" t="s">
        <v>239</v>
      </c>
      <c r="C15" s="89"/>
      <c r="D15" s="89"/>
      <c r="E15" s="89"/>
      <c r="F15" s="89"/>
      <c r="G15" s="89"/>
      <c r="H15" s="89"/>
      <c r="I15" s="89"/>
      <c r="J15" s="89"/>
      <c r="K15" s="89"/>
      <c r="L15" s="89"/>
      <c r="M15" s="89"/>
      <c r="N15" s="89"/>
      <c r="O15" s="89"/>
      <c r="P15" s="89"/>
      <c r="Q15" s="89"/>
      <c r="R15" s="90"/>
    </row>
    <row r="16" spans="2:18">
      <c r="B16" s="79"/>
      <c r="C16" s="89"/>
      <c r="D16" s="89"/>
      <c r="E16" s="89"/>
      <c r="F16" s="89"/>
      <c r="G16" s="89"/>
      <c r="H16" s="89"/>
      <c r="I16" s="89"/>
      <c r="J16" s="89"/>
      <c r="K16" s="89"/>
      <c r="L16" s="89"/>
      <c r="M16" s="89"/>
      <c r="N16" s="89"/>
      <c r="O16" s="89"/>
      <c r="P16" s="89"/>
      <c r="Q16" s="89"/>
      <c r="R16" s="90"/>
    </row>
    <row r="17" spans="2:18">
      <c r="B17" s="79"/>
      <c r="C17" s="89"/>
      <c r="D17" s="89"/>
      <c r="E17" s="89"/>
      <c r="F17" s="89"/>
      <c r="G17" s="89"/>
      <c r="H17" s="89"/>
      <c r="I17" s="89"/>
      <c r="J17" s="89"/>
      <c r="K17" s="89"/>
      <c r="L17" s="89"/>
      <c r="M17" s="89"/>
      <c r="N17" s="89"/>
      <c r="O17" s="89"/>
      <c r="P17" s="89"/>
      <c r="Q17" s="89"/>
      <c r="R17" s="90"/>
    </row>
    <row r="18" spans="2:18" ht="5.4" customHeight="1">
      <c r="B18" s="47"/>
      <c r="C18" s="48"/>
      <c r="D18" s="48"/>
      <c r="E18" s="48"/>
      <c r="F18" s="48"/>
      <c r="G18" s="48"/>
      <c r="H18" s="48"/>
      <c r="I18" s="48"/>
      <c r="J18" s="48"/>
      <c r="K18" s="48"/>
      <c r="L18" s="48"/>
      <c r="M18" s="48"/>
      <c r="N18" s="48"/>
      <c r="O18" s="48"/>
      <c r="P18" s="48"/>
      <c r="Q18" s="48"/>
      <c r="R18" s="49"/>
    </row>
    <row r="19" spans="2:18">
      <c r="B19" s="79" t="s">
        <v>240</v>
      </c>
      <c r="C19" s="89"/>
      <c r="D19" s="89"/>
      <c r="E19" s="89"/>
      <c r="F19" s="89"/>
      <c r="G19" s="89"/>
      <c r="H19" s="89"/>
      <c r="I19" s="89"/>
      <c r="J19" s="89"/>
      <c r="K19" s="89"/>
      <c r="L19" s="89"/>
      <c r="M19" s="89"/>
      <c r="N19" s="89"/>
      <c r="O19" s="89"/>
      <c r="P19" s="89"/>
      <c r="Q19" s="89"/>
      <c r="R19" s="90"/>
    </row>
    <row r="20" spans="2:18">
      <c r="B20" s="79"/>
      <c r="C20" s="89"/>
      <c r="D20" s="89"/>
      <c r="E20" s="89"/>
      <c r="F20" s="89"/>
      <c r="G20" s="89"/>
      <c r="H20" s="89"/>
      <c r="I20" s="89"/>
      <c r="J20" s="89"/>
      <c r="K20" s="89"/>
      <c r="L20" s="89"/>
      <c r="M20" s="89"/>
      <c r="N20" s="89"/>
      <c r="O20" s="89"/>
      <c r="P20" s="89"/>
      <c r="Q20" s="89"/>
      <c r="R20" s="90"/>
    </row>
    <row r="21" spans="2:18">
      <c r="B21" s="79"/>
      <c r="C21" s="89"/>
      <c r="D21" s="89"/>
      <c r="E21" s="89"/>
      <c r="F21" s="89"/>
      <c r="G21" s="89"/>
      <c r="H21" s="89"/>
      <c r="I21" s="89"/>
      <c r="J21" s="89"/>
      <c r="K21" s="89"/>
      <c r="L21" s="89"/>
      <c r="M21" s="89"/>
      <c r="N21" s="89"/>
      <c r="O21" s="89"/>
      <c r="P21" s="89"/>
      <c r="Q21" s="89"/>
      <c r="R21" s="90"/>
    </row>
    <row r="22" spans="2:18" ht="7.2" customHeight="1">
      <c r="B22" s="47"/>
      <c r="C22" s="48"/>
      <c r="D22" s="48"/>
      <c r="E22" s="48"/>
      <c r="F22" s="48"/>
      <c r="G22" s="48"/>
      <c r="H22" s="48"/>
      <c r="I22" s="48"/>
      <c r="J22" s="48"/>
      <c r="K22" s="48"/>
      <c r="L22" s="48"/>
      <c r="M22" s="48"/>
      <c r="N22" s="48"/>
      <c r="O22" s="48"/>
      <c r="P22" s="48"/>
      <c r="Q22" s="48"/>
      <c r="R22" s="49"/>
    </row>
    <row r="23" spans="2:18">
      <c r="B23" s="79" t="s">
        <v>242</v>
      </c>
      <c r="C23" s="89"/>
      <c r="D23" s="89"/>
      <c r="E23" s="89"/>
      <c r="F23" s="89"/>
      <c r="G23" s="89"/>
      <c r="H23" s="89"/>
      <c r="I23" s="89"/>
      <c r="J23" s="89"/>
      <c r="K23" s="89"/>
      <c r="L23" s="89"/>
      <c r="M23" s="89"/>
      <c r="N23" s="89"/>
      <c r="O23" s="89"/>
      <c r="P23" s="89"/>
      <c r="Q23" s="89"/>
      <c r="R23" s="90"/>
    </row>
    <row r="24" spans="2:18">
      <c r="B24" s="79"/>
      <c r="C24" s="89"/>
      <c r="D24" s="89"/>
      <c r="E24" s="89"/>
      <c r="F24" s="89"/>
      <c r="G24" s="89"/>
      <c r="H24" s="89"/>
      <c r="I24" s="89"/>
      <c r="J24" s="89"/>
      <c r="K24" s="89"/>
      <c r="L24" s="89"/>
      <c r="M24" s="89"/>
      <c r="N24" s="89"/>
      <c r="O24" s="89"/>
      <c r="P24" s="89"/>
      <c r="Q24" s="89"/>
      <c r="R24" s="90"/>
    </row>
    <row r="25" spans="2:18">
      <c r="B25" s="79"/>
      <c r="C25" s="89"/>
      <c r="D25" s="89"/>
      <c r="E25" s="89"/>
      <c r="F25" s="89"/>
      <c r="G25" s="89"/>
      <c r="H25" s="89"/>
      <c r="I25" s="89"/>
      <c r="J25" s="89"/>
      <c r="K25" s="89"/>
      <c r="L25" s="89"/>
      <c r="M25" s="89"/>
      <c r="N25" s="89"/>
      <c r="O25" s="89"/>
      <c r="P25" s="89"/>
      <c r="Q25" s="89"/>
      <c r="R25" s="90"/>
    </row>
    <row r="26" spans="2:18">
      <c r="B26" s="47"/>
      <c r="C26" s="48"/>
      <c r="D26" s="48"/>
      <c r="E26" s="48"/>
      <c r="F26" s="48"/>
      <c r="G26" s="48"/>
      <c r="H26" s="48"/>
      <c r="I26" s="48"/>
      <c r="J26" s="48"/>
      <c r="K26" s="48"/>
      <c r="L26" s="48"/>
      <c r="M26" s="48"/>
      <c r="N26" s="48"/>
      <c r="O26" s="48"/>
      <c r="P26" s="48"/>
      <c r="Q26" s="48"/>
      <c r="R26" s="49"/>
    </row>
    <row r="27" spans="2:18">
      <c r="B27" s="79" t="s">
        <v>241</v>
      </c>
      <c r="C27" s="89"/>
      <c r="D27" s="89"/>
      <c r="E27" s="89"/>
      <c r="F27" s="89"/>
      <c r="G27" s="89"/>
      <c r="H27" s="89"/>
      <c r="I27" s="89"/>
      <c r="J27" s="89"/>
      <c r="K27" s="89"/>
      <c r="L27" s="89"/>
      <c r="M27" s="89"/>
      <c r="N27" s="89"/>
      <c r="O27" s="89"/>
      <c r="P27" s="89"/>
      <c r="Q27" s="89"/>
      <c r="R27" s="90"/>
    </row>
    <row r="28" spans="2:18">
      <c r="B28" s="79"/>
      <c r="C28" s="89"/>
      <c r="D28" s="89"/>
      <c r="E28" s="89"/>
      <c r="F28" s="89"/>
      <c r="G28" s="89"/>
      <c r="H28" s="89"/>
      <c r="I28" s="89"/>
      <c r="J28" s="89"/>
      <c r="K28" s="89"/>
      <c r="L28" s="89"/>
      <c r="M28" s="89"/>
      <c r="N28" s="89"/>
      <c r="O28" s="89"/>
      <c r="P28" s="89"/>
      <c r="Q28" s="89"/>
      <c r="R28" s="90"/>
    </row>
    <row r="29" spans="2:18">
      <c r="B29" s="79"/>
      <c r="C29" s="89"/>
      <c r="D29" s="89"/>
      <c r="E29" s="89"/>
      <c r="F29" s="89"/>
      <c r="G29" s="89"/>
      <c r="H29" s="89"/>
      <c r="I29" s="89"/>
      <c r="J29" s="89"/>
      <c r="K29" s="89"/>
      <c r="L29" s="89"/>
      <c r="M29" s="89"/>
      <c r="N29" s="89"/>
      <c r="O29" s="89"/>
      <c r="P29" s="89"/>
      <c r="Q29" s="89"/>
      <c r="R29" s="90"/>
    </row>
    <row r="30" spans="2:18" ht="14.4" thickBot="1">
      <c r="B30" s="64"/>
      <c r="C30" s="65"/>
      <c r="D30" s="65"/>
      <c r="E30" s="65"/>
      <c r="F30" s="65"/>
      <c r="G30" s="65"/>
      <c r="H30" s="65"/>
      <c r="I30" s="65"/>
      <c r="J30" s="65"/>
      <c r="K30" s="65"/>
      <c r="L30" s="65"/>
      <c r="M30" s="65"/>
      <c r="N30" s="65"/>
      <c r="O30" s="65"/>
      <c r="P30" s="65"/>
      <c r="Q30" s="65"/>
      <c r="R30" s="66"/>
    </row>
    <row r="31" spans="2:18">
      <c r="B31" s="73" t="s">
        <v>236</v>
      </c>
      <c r="C31" s="74"/>
      <c r="D31" s="74"/>
      <c r="E31" s="74"/>
      <c r="F31" s="74"/>
      <c r="G31" s="74"/>
      <c r="H31" s="74"/>
      <c r="I31" s="74"/>
      <c r="J31" s="74"/>
      <c r="K31" s="74"/>
      <c r="L31" s="74"/>
      <c r="M31" s="74"/>
      <c r="N31" s="74"/>
      <c r="O31" s="74"/>
      <c r="P31" s="74"/>
      <c r="Q31" s="74"/>
      <c r="R31" s="75"/>
    </row>
    <row r="32" spans="2:18">
      <c r="B32" s="73"/>
      <c r="C32" s="74"/>
      <c r="D32" s="74"/>
      <c r="E32" s="74"/>
      <c r="F32" s="74"/>
      <c r="G32" s="74"/>
      <c r="H32" s="74"/>
      <c r="I32" s="74"/>
      <c r="J32" s="74"/>
      <c r="K32" s="74"/>
      <c r="L32" s="74"/>
      <c r="M32" s="74"/>
      <c r="N32" s="74"/>
      <c r="O32" s="74"/>
      <c r="P32" s="74"/>
      <c r="Q32" s="74"/>
      <c r="R32" s="75"/>
    </row>
    <row r="33" spans="2:18">
      <c r="B33" s="73"/>
      <c r="C33" s="74"/>
      <c r="D33" s="74"/>
      <c r="E33" s="74"/>
      <c r="F33" s="74"/>
      <c r="G33" s="74"/>
      <c r="H33" s="74"/>
      <c r="I33" s="74"/>
      <c r="J33" s="74"/>
      <c r="K33" s="74"/>
      <c r="L33" s="74"/>
      <c r="M33" s="74"/>
      <c r="N33" s="74"/>
      <c r="O33" s="74"/>
      <c r="P33" s="74"/>
      <c r="Q33" s="74"/>
      <c r="R33" s="75"/>
    </row>
    <row r="34" spans="2:18" ht="20.399999999999999">
      <c r="B34" s="56"/>
      <c r="C34" s="57"/>
      <c r="D34" s="57"/>
      <c r="E34" s="57"/>
      <c r="F34" s="57"/>
      <c r="G34" s="57"/>
      <c r="H34" s="57"/>
      <c r="I34" s="57"/>
      <c r="J34" s="57"/>
      <c r="K34" s="57"/>
      <c r="L34" s="57"/>
      <c r="M34" s="57"/>
      <c r="N34" s="57"/>
      <c r="O34" s="57"/>
      <c r="P34" s="57"/>
      <c r="Q34" s="57"/>
      <c r="R34" s="58"/>
    </row>
    <row r="35" spans="2:18">
      <c r="B35" s="76" t="s">
        <v>244</v>
      </c>
      <c r="C35" s="77"/>
      <c r="D35" s="77"/>
      <c r="E35" s="77"/>
      <c r="F35" s="77"/>
      <c r="G35" s="77"/>
      <c r="H35" s="77"/>
      <c r="I35" s="77"/>
      <c r="J35" s="77"/>
      <c r="K35" s="77"/>
      <c r="L35" s="77"/>
      <c r="M35" s="77"/>
      <c r="N35" s="77"/>
      <c r="O35" s="77"/>
      <c r="P35" s="77"/>
      <c r="Q35" s="77"/>
      <c r="R35" s="78"/>
    </row>
    <row r="36" spans="2:18">
      <c r="B36" s="76"/>
      <c r="C36" s="77"/>
      <c r="D36" s="77"/>
      <c r="E36" s="77"/>
      <c r="F36" s="77"/>
      <c r="G36" s="77"/>
      <c r="H36" s="77"/>
      <c r="I36" s="77"/>
      <c r="J36" s="77"/>
      <c r="K36" s="77"/>
      <c r="L36" s="77"/>
      <c r="M36" s="77"/>
      <c r="N36" s="77"/>
      <c r="O36" s="77"/>
      <c r="P36" s="77"/>
      <c r="Q36" s="77"/>
      <c r="R36" s="78"/>
    </row>
    <row r="37" spans="2:18">
      <c r="B37" s="59"/>
      <c r="C37" s="60"/>
      <c r="D37" s="60"/>
      <c r="E37" s="60"/>
      <c r="F37" s="60"/>
      <c r="G37" s="60"/>
      <c r="H37" s="60"/>
      <c r="I37" s="60"/>
      <c r="J37" s="60"/>
      <c r="K37" s="60"/>
      <c r="L37" s="60"/>
      <c r="M37" s="60"/>
      <c r="N37" s="60"/>
      <c r="O37" s="60"/>
      <c r="P37" s="60"/>
      <c r="Q37" s="60"/>
      <c r="R37" s="61"/>
    </row>
    <row r="38" spans="2:18">
      <c r="B38" s="76" t="s">
        <v>245</v>
      </c>
      <c r="C38" s="77"/>
      <c r="D38" s="77"/>
      <c r="E38" s="77"/>
      <c r="F38" s="77"/>
      <c r="G38" s="77"/>
      <c r="H38" s="77"/>
      <c r="I38" s="77"/>
      <c r="J38" s="77"/>
      <c r="K38" s="77"/>
      <c r="L38" s="77"/>
      <c r="M38" s="77"/>
      <c r="N38" s="77"/>
      <c r="O38" s="77"/>
      <c r="P38" s="77"/>
      <c r="Q38" s="77"/>
      <c r="R38" s="78"/>
    </row>
    <row r="39" spans="2:18">
      <c r="B39" s="76"/>
      <c r="C39" s="77"/>
      <c r="D39" s="77"/>
      <c r="E39" s="77"/>
      <c r="F39" s="77"/>
      <c r="G39" s="77"/>
      <c r="H39" s="77"/>
      <c r="I39" s="77"/>
      <c r="J39" s="77"/>
      <c r="K39" s="77"/>
      <c r="L39" s="77"/>
      <c r="M39" s="77"/>
      <c r="N39" s="77"/>
      <c r="O39" s="77"/>
      <c r="P39" s="77"/>
      <c r="Q39" s="77"/>
      <c r="R39" s="78"/>
    </row>
    <row r="40" spans="2:18">
      <c r="B40" s="76"/>
      <c r="C40" s="77"/>
      <c r="D40" s="77"/>
      <c r="E40" s="77"/>
      <c r="F40" s="77"/>
      <c r="G40" s="77"/>
      <c r="H40" s="77"/>
      <c r="I40" s="77"/>
      <c r="J40" s="77"/>
      <c r="K40" s="77"/>
      <c r="L40" s="77"/>
      <c r="M40" s="77"/>
      <c r="N40" s="77"/>
      <c r="O40" s="77"/>
      <c r="P40" s="77"/>
      <c r="Q40" s="77"/>
      <c r="R40" s="78"/>
    </row>
    <row r="41" spans="2:18">
      <c r="B41" s="79" t="s">
        <v>243</v>
      </c>
      <c r="C41" s="80"/>
      <c r="D41" s="80"/>
      <c r="E41" s="80"/>
      <c r="F41" s="80"/>
      <c r="G41" s="80"/>
      <c r="H41" s="80"/>
      <c r="I41" s="80"/>
      <c r="J41" s="80"/>
      <c r="K41" s="80"/>
      <c r="L41" s="80"/>
      <c r="M41" s="80"/>
      <c r="N41" s="80"/>
      <c r="O41" s="80"/>
      <c r="P41" s="80"/>
      <c r="Q41" s="80"/>
      <c r="R41" s="81"/>
    </row>
    <row r="42" spans="2:18">
      <c r="B42" s="82"/>
      <c r="C42" s="80"/>
      <c r="D42" s="80"/>
      <c r="E42" s="80"/>
      <c r="F42" s="80"/>
      <c r="G42" s="80"/>
      <c r="H42" s="80"/>
      <c r="I42" s="80"/>
      <c r="J42" s="80"/>
      <c r="K42" s="80"/>
      <c r="L42" s="80"/>
      <c r="M42" s="80"/>
      <c r="N42" s="80"/>
      <c r="O42" s="80"/>
      <c r="P42" s="80"/>
      <c r="Q42" s="80"/>
      <c r="R42" s="81"/>
    </row>
    <row r="43" spans="2:18">
      <c r="B43" s="82"/>
      <c r="C43" s="80"/>
      <c r="D43" s="80"/>
      <c r="E43" s="80"/>
      <c r="F43" s="80"/>
      <c r="G43" s="80"/>
      <c r="H43" s="80"/>
      <c r="I43" s="80"/>
      <c r="J43" s="80"/>
      <c r="K43" s="80"/>
      <c r="L43" s="80"/>
      <c r="M43" s="80"/>
      <c r="N43" s="80"/>
      <c r="O43" s="80"/>
      <c r="P43" s="80"/>
      <c r="Q43" s="80"/>
      <c r="R43" s="81"/>
    </row>
    <row r="44" spans="2:18">
      <c r="B44" s="79" t="s">
        <v>246</v>
      </c>
      <c r="C44" s="80"/>
      <c r="D44" s="80"/>
      <c r="E44" s="80"/>
      <c r="F44" s="80"/>
      <c r="G44" s="80"/>
      <c r="H44" s="80"/>
      <c r="I44" s="80"/>
      <c r="J44" s="80"/>
      <c r="K44" s="80"/>
      <c r="L44" s="80"/>
      <c r="M44" s="80"/>
      <c r="N44" s="80"/>
      <c r="O44" s="80"/>
      <c r="P44" s="80"/>
      <c r="Q44" s="80"/>
      <c r="R44" s="81"/>
    </row>
    <row r="45" spans="2:18">
      <c r="B45" s="82"/>
      <c r="C45" s="80"/>
      <c r="D45" s="80"/>
      <c r="E45" s="80"/>
      <c r="F45" s="80"/>
      <c r="G45" s="80"/>
      <c r="H45" s="80"/>
      <c r="I45" s="80"/>
      <c r="J45" s="80"/>
      <c r="K45" s="80"/>
      <c r="L45" s="80"/>
      <c r="M45" s="80"/>
      <c r="N45" s="80"/>
      <c r="O45" s="80"/>
      <c r="P45" s="80"/>
      <c r="Q45" s="80"/>
      <c r="R45" s="81"/>
    </row>
    <row r="46" spans="2:18" ht="14.4" thickBot="1">
      <c r="B46" s="83"/>
      <c r="C46" s="84"/>
      <c r="D46" s="84"/>
      <c r="E46" s="84"/>
      <c r="F46" s="84"/>
      <c r="G46" s="84"/>
      <c r="H46" s="84"/>
      <c r="I46" s="84"/>
      <c r="J46" s="84"/>
      <c r="K46" s="84"/>
      <c r="L46" s="84"/>
      <c r="M46" s="84"/>
      <c r="N46" s="84"/>
      <c r="O46" s="84"/>
      <c r="P46" s="84"/>
      <c r="Q46" s="84"/>
      <c r="R46" s="85"/>
    </row>
  </sheetData>
  <mergeCells count="12">
    <mergeCell ref="B2:R4"/>
    <mergeCell ref="B31:R33"/>
    <mergeCell ref="B35:R36"/>
    <mergeCell ref="B38:R40"/>
    <mergeCell ref="B44:R46"/>
    <mergeCell ref="B41:R43"/>
    <mergeCell ref="B10:R13"/>
    <mergeCell ref="B6:R8"/>
    <mergeCell ref="B27:R29"/>
    <mergeCell ref="B23:R25"/>
    <mergeCell ref="B19:R21"/>
    <mergeCell ref="B15:R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A994F-D3BC-4140-821B-ACAE0CEEFEEC}">
  <sheetPr>
    <tabColor rgb="FFFFFF00"/>
  </sheetPr>
  <dimension ref="A3:X166"/>
  <sheetViews>
    <sheetView zoomScale="70" zoomScaleNormal="70" workbookViewId="0">
      <selection activeCell="K33" sqref="K33"/>
    </sheetView>
  </sheetViews>
  <sheetFormatPr defaultRowHeight="14.4"/>
  <cols>
    <col min="1" max="1" width="16.109375" bestFit="1" customWidth="1"/>
    <col min="2" max="2" width="16.77734375" bestFit="1" customWidth="1"/>
    <col min="3" max="5" width="11.33203125" bestFit="1" customWidth="1"/>
    <col min="7" max="7" width="13.88671875" bestFit="1" customWidth="1"/>
    <col min="8" max="8" width="16.109375" bestFit="1" customWidth="1"/>
    <col min="9" max="9" width="2.21875" customWidth="1"/>
    <col min="10" max="10" width="21.88671875" bestFit="1" customWidth="1"/>
    <col min="11" max="11" width="12.44140625" bestFit="1" customWidth="1"/>
    <col min="12" max="12" width="4.5546875" customWidth="1"/>
    <col min="13" max="13" width="13.88671875" bestFit="1" customWidth="1"/>
    <col min="14" max="14" width="16.109375" bestFit="1" customWidth="1"/>
    <col min="15" max="15" width="3" customWidth="1"/>
    <col min="16" max="16" width="13.88671875" bestFit="1" customWidth="1"/>
    <col min="17" max="17" width="14.109375" bestFit="1" customWidth="1"/>
    <col min="18" max="18" width="4.109375" customWidth="1"/>
    <col min="19" max="19" width="13.88671875" bestFit="1" customWidth="1"/>
    <col min="20" max="20" width="16.109375" bestFit="1" customWidth="1"/>
    <col min="21" max="21" width="14.88671875" bestFit="1" customWidth="1"/>
    <col min="22" max="22" width="2" bestFit="1" customWidth="1"/>
    <col min="23" max="23" width="12.21875" customWidth="1"/>
    <col min="24" max="24" width="16.109375" bestFit="1" customWidth="1"/>
    <col min="25" max="25" width="14" bestFit="1" customWidth="1"/>
    <col min="26" max="179" width="2" bestFit="1" customWidth="1"/>
    <col min="180" max="180" width="10.77734375" bestFit="1" customWidth="1"/>
  </cols>
  <sheetData>
    <row r="3" spans="1:24">
      <c r="B3" t="s">
        <v>224</v>
      </c>
      <c r="J3" t="s">
        <v>226</v>
      </c>
    </row>
    <row r="5" spans="1:24">
      <c r="A5" s="29" t="s">
        <v>3</v>
      </c>
      <c r="B5" s="29" t="s">
        <v>223</v>
      </c>
      <c r="G5" s="29" t="s">
        <v>222</v>
      </c>
      <c r="H5" t="s">
        <v>3</v>
      </c>
      <c r="J5" s="29" t="s">
        <v>222</v>
      </c>
      <c r="K5" t="s">
        <v>225</v>
      </c>
      <c r="M5" s="29" t="s">
        <v>222</v>
      </c>
      <c r="N5" t="s">
        <v>3</v>
      </c>
      <c r="P5" s="29" t="s">
        <v>222</v>
      </c>
      <c r="Q5" t="s">
        <v>4</v>
      </c>
      <c r="S5" s="29" t="s">
        <v>222</v>
      </c>
      <c r="T5" t="s">
        <v>3</v>
      </c>
      <c r="U5" t="s">
        <v>228</v>
      </c>
      <c r="X5" t="s">
        <v>4</v>
      </c>
    </row>
    <row r="6" spans="1:24">
      <c r="A6" s="29" t="s">
        <v>222</v>
      </c>
      <c r="B6" t="s">
        <v>6</v>
      </c>
      <c r="C6" t="s">
        <v>7</v>
      </c>
      <c r="D6" t="s">
        <v>8</v>
      </c>
      <c r="E6" t="s">
        <v>9</v>
      </c>
      <c r="G6" s="8">
        <v>19</v>
      </c>
      <c r="H6" s="32">
        <v>58960</v>
      </c>
      <c r="J6" s="8" t="s">
        <v>11</v>
      </c>
      <c r="K6" s="32">
        <v>115440</v>
      </c>
      <c r="M6" s="8" t="s">
        <v>6</v>
      </c>
      <c r="N6" s="32">
        <v>78284.186046511633</v>
      </c>
      <c r="P6" s="8" t="s">
        <v>6</v>
      </c>
      <c r="Q6">
        <v>86</v>
      </c>
      <c r="S6" s="34">
        <v>3.9722222222222223</v>
      </c>
      <c r="T6" s="3">
        <v>112570</v>
      </c>
      <c r="U6" s="6">
        <v>0</v>
      </c>
      <c r="X6">
        <v>183</v>
      </c>
    </row>
    <row r="7" spans="1:24">
      <c r="A7" s="8" t="s">
        <v>12</v>
      </c>
      <c r="B7" s="32">
        <v>73138.888888888891</v>
      </c>
      <c r="C7" s="32">
        <v>67411.25</v>
      </c>
      <c r="D7" s="32">
        <v>89720</v>
      </c>
      <c r="E7" s="32">
        <v>72472.631578947374</v>
      </c>
      <c r="G7" s="8">
        <v>20</v>
      </c>
      <c r="H7" s="32">
        <v>92205</v>
      </c>
      <c r="J7" s="8" t="s">
        <v>14</v>
      </c>
      <c r="K7" s="32">
        <v>115440</v>
      </c>
      <c r="M7" s="8" t="s">
        <v>7</v>
      </c>
      <c r="N7" s="32">
        <v>74915.168539325838</v>
      </c>
      <c r="P7" s="8" t="s">
        <v>7</v>
      </c>
      <c r="Q7">
        <v>89</v>
      </c>
      <c r="S7" s="34">
        <v>4.0027777777777782</v>
      </c>
      <c r="T7" s="3">
        <v>91945</v>
      </c>
      <c r="U7" s="6">
        <v>220668</v>
      </c>
    </row>
    <row r="8" spans="1:24">
      <c r="A8" s="8" t="s">
        <v>15</v>
      </c>
      <c r="B8" s="32">
        <v>94240</v>
      </c>
      <c r="C8" s="32">
        <v>75880</v>
      </c>
      <c r="D8" s="32"/>
      <c r="E8" s="32">
        <v>89650</v>
      </c>
      <c r="G8" s="8">
        <v>21</v>
      </c>
      <c r="H8" s="32">
        <v>54146</v>
      </c>
      <c r="J8" s="8" t="s">
        <v>17</v>
      </c>
      <c r="K8" s="32">
        <v>115920</v>
      </c>
      <c r="M8" s="8" t="s">
        <v>8</v>
      </c>
      <c r="N8" s="32">
        <v>90362.5</v>
      </c>
      <c r="P8" s="8" t="s">
        <v>8</v>
      </c>
      <c r="Q8">
        <v>8</v>
      </c>
      <c r="S8" s="34">
        <v>4.0861111111111112</v>
      </c>
      <c r="T8" s="3">
        <v>43510</v>
      </c>
      <c r="U8" s="6">
        <v>52212</v>
      </c>
    </row>
    <row r="9" spans="1:24">
      <c r="A9" s="8" t="s">
        <v>18</v>
      </c>
      <c r="B9" s="32">
        <v>92236</v>
      </c>
      <c r="C9" s="32">
        <v>75827.142857142855</v>
      </c>
      <c r="D9" s="32"/>
      <c r="E9" s="32">
        <v>81794</v>
      </c>
      <c r="G9" s="8">
        <v>22</v>
      </c>
      <c r="H9" s="32">
        <v>94840</v>
      </c>
      <c r="J9" s="8" t="s">
        <v>20</v>
      </c>
      <c r="K9" s="32">
        <v>115920</v>
      </c>
      <c r="M9" s="8" t="s">
        <v>9</v>
      </c>
      <c r="N9" s="32">
        <v>77173.715846994543</v>
      </c>
      <c r="P9" s="8" t="s">
        <v>9</v>
      </c>
      <c r="Q9">
        <v>183</v>
      </c>
      <c r="S9" s="34">
        <v>4.1166666666666663</v>
      </c>
      <c r="T9" s="3">
        <v>86570</v>
      </c>
      <c r="U9" s="6">
        <v>103884</v>
      </c>
      <c r="X9" t="s">
        <v>227</v>
      </c>
    </row>
    <row r="10" spans="1:24">
      <c r="A10" s="8" t="s">
        <v>21</v>
      </c>
      <c r="B10" s="32">
        <v>72720</v>
      </c>
      <c r="C10" s="32">
        <v>63012.857142857145</v>
      </c>
      <c r="D10" s="32"/>
      <c r="E10" s="32">
        <v>67866.428571428565</v>
      </c>
      <c r="G10" s="8">
        <v>23</v>
      </c>
      <c r="H10" s="32">
        <v>106460</v>
      </c>
      <c r="J10" s="8" t="s">
        <v>23</v>
      </c>
      <c r="K10" s="32">
        <v>118100</v>
      </c>
      <c r="S10" s="34">
        <v>4.1416666666666666</v>
      </c>
      <c r="T10" s="3">
        <v>112570</v>
      </c>
      <c r="U10" s="6">
        <v>135084</v>
      </c>
      <c r="X10" s="32">
        <v>14122790</v>
      </c>
    </row>
    <row r="11" spans="1:24">
      <c r="A11" s="8" t="s">
        <v>24</v>
      </c>
      <c r="B11" s="32">
        <v>70989.28571428571</v>
      </c>
      <c r="C11" s="32">
        <v>86408.181818181823</v>
      </c>
      <c r="D11" s="32">
        <v>91005</v>
      </c>
      <c r="E11" s="32">
        <v>78753.703703703708</v>
      </c>
      <c r="G11" s="8">
        <v>24</v>
      </c>
      <c r="H11" s="32">
        <v>71936.666666666672</v>
      </c>
      <c r="J11" s="8" t="s">
        <v>26</v>
      </c>
      <c r="K11" s="32">
        <v>118100</v>
      </c>
      <c r="S11" s="34">
        <v>4.2</v>
      </c>
      <c r="T11" s="3">
        <v>75000</v>
      </c>
      <c r="U11" s="6">
        <v>90000</v>
      </c>
    </row>
    <row r="12" spans="1:24">
      <c r="A12" s="8" t="s">
        <v>9</v>
      </c>
      <c r="B12" s="32">
        <v>78284.186046511633</v>
      </c>
      <c r="C12" s="32">
        <v>74915.168539325838</v>
      </c>
      <c r="D12" s="32">
        <v>90362.5</v>
      </c>
      <c r="E12" s="32">
        <v>77173.715846994543</v>
      </c>
      <c r="G12" s="8">
        <v>25</v>
      </c>
      <c r="H12" s="32">
        <v>87072.5</v>
      </c>
      <c r="J12" s="8" t="s">
        <v>28</v>
      </c>
      <c r="K12" s="32">
        <v>118840</v>
      </c>
      <c r="S12" s="34">
        <v>4.2138888888888886</v>
      </c>
      <c r="T12" s="3">
        <v>91310</v>
      </c>
      <c r="U12" s="6">
        <v>109572</v>
      </c>
    </row>
    <row r="13" spans="1:24">
      <c r="G13" s="8">
        <v>26</v>
      </c>
      <c r="H13" s="32">
        <v>58500</v>
      </c>
      <c r="J13" s="8" t="s">
        <v>30</v>
      </c>
      <c r="K13" s="32">
        <v>118840</v>
      </c>
      <c r="S13" s="34">
        <v>4.4805555555555552</v>
      </c>
      <c r="T13" s="3">
        <v>33920</v>
      </c>
      <c r="U13" s="6">
        <v>40704</v>
      </c>
    </row>
    <row r="14" spans="1:24">
      <c r="G14" s="8">
        <v>27</v>
      </c>
      <c r="H14" s="32">
        <v>85706.153846153844</v>
      </c>
      <c r="J14" s="8" t="s">
        <v>32</v>
      </c>
      <c r="K14" s="32">
        <v>119110</v>
      </c>
      <c r="S14" s="34">
        <v>4.55</v>
      </c>
      <c r="T14" s="3">
        <v>58940</v>
      </c>
      <c r="U14" s="6">
        <v>70728</v>
      </c>
      <c r="X14" t="s">
        <v>230</v>
      </c>
    </row>
    <row r="15" spans="1:24">
      <c r="G15" s="8">
        <v>28</v>
      </c>
      <c r="H15" s="32">
        <v>75678.571428571435</v>
      </c>
      <c r="J15" s="8" t="s">
        <v>34</v>
      </c>
      <c r="K15" s="32">
        <v>119110</v>
      </c>
      <c r="S15" s="34">
        <v>4.6638888888888888</v>
      </c>
      <c r="T15" s="3">
        <v>60130</v>
      </c>
      <c r="U15" s="6">
        <v>72156</v>
      </c>
      <c r="X15" s="33">
        <v>180</v>
      </c>
    </row>
    <row r="16" spans="1:24">
      <c r="G16" s="8">
        <v>29</v>
      </c>
      <c r="H16" s="32">
        <v>73545</v>
      </c>
      <c r="J16" s="8" t="s">
        <v>9</v>
      </c>
      <c r="K16" s="32">
        <v>119110</v>
      </c>
      <c r="S16" s="34">
        <v>4.677777777777778</v>
      </c>
      <c r="T16" s="3">
        <v>60570</v>
      </c>
      <c r="U16" s="6">
        <v>72684</v>
      </c>
    </row>
    <row r="17" spans="7:24">
      <c r="G17" s="8">
        <v>30</v>
      </c>
      <c r="H17" s="32">
        <v>80312.222222222219</v>
      </c>
      <c r="S17" s="34">
        <v>4.7888888888888888</v>
      </c>
      <c r="T17" s="3">
        <v>48980</v>
      </c>
      <c r="U17" s="6">
        <v>58776</v>
      </c>
      <c r="X17" t="s">
        <v>3</v>
      </c>
    </row>
    <row r="18" spans="7:24">
      <c r="G18" s="8">
        <v>31</v>
      </c>
      <c r="H18" s="32">
        <v>63145</v>
      </c>
      <c r="S18" s="34">
        <v>4.8361111111111112</v>
      </c>
      <c r="T18" s="3">
        <v>60130</v>
      </c>
      <c r="U18" s="6">
        <v>72156</v>
      </c>
      <c r="X18" s="32">
        <v>77173.715846994543</v>
      </c>
    </row>
    <row r="19" spans="7:24">
      <c r="G19" s="8">
        <v>32</v>
      </c>
      <c r="H19" s="32">
        <v>55154</v>
      </c>
      <c r="S19" s="34">
        <v>4.8527777777777779</v>
      </c>
      <c r="T19" s="3">
        <v>96800</v>
      </c>
      <c r="U19" s="6">
        <v>116160</v>
      </c>
    </row>
    <row r="20" spans="7:24">
      <c r="G20" s="8">
        <v>33</v>
      </c>
      <c r="H20" s="32">
        <v>75113</v>
      </c>
      <c r="S20" s="34">
        <v>4.958333333333333</v>
      </c>
      <c r="T20" s="3">
        <v>48980</v>
      </c>
      <c r="U20" s="6">
        <v>58776</v>
      </c>
    </row>
    <row r="21" spans="7:24">
      <c r="G21" s="8">
        <v>34</v>
      </c>
      <c r="H21" s="32">
        <v>73177.272727272721</v>
      </c>
      <c r="S21" s="34">
        <v>5.1416666666666666</v>
      </c>
      <c r="T21" s="3">
        <v>106460</v>
      </c>
      <c r="U21" s="6">
        <v>127752</v>
      </c>
    </row>
    <row r="22" spans="7:24">
      <c r="G22" s="8">
        <v>35</v>
      </c>
      <c r="H22" s="32">
        <v>40400</v>
      </c>
      <c r="S22" s="34">
        <v>5.2444444444444445</v>
      </c>
      <c r="T22" s="3">
        <v>53540</v>
      </c>
      <c r="U22" s="6">
        <v>64248</v>
      </c>
    </row>
    <row r="23" spans="7:24">
      <c r="G23" s="8">
        <v>36</v>
      </c>
      <c r="H23" s="32">
        <v>92408</v>
      </c>
      <c r="S23" s="34">
        <v>5.2944444444444443</v>
      </c>
      <c r="T23" s="3">
        <v>74550</v>
      </c>
      <c r="U23" s="6">
        <v>89460</v>
      </c>
    </row>
    <row r="24" spans="7:24">
      <c r="G24" s="8">
        <v>37</v>
      </c>
      <c r="H24" s="32">
        <v>97665</v>
      </c>
      <c r="S24" s="34">
        <v>5.3055555555555554</v>
      </c>
      <c r="T24" s="3">
        <v>104410</v>
      </c>
      <c r="U24" s="6">
        <v>125292</v>
      </c>
    </row>
    <row r="25" spans="7:24">
      <c r="G25" s="8">
        <v>38</v>
      </c>
      <c r="H25" s="32">
        <v>83015</v>
      </c>
      <c r="S25" s="34">
        <v>5.3722222222222218</v>
      </c>
      <c r="T25" s="3">
        <v>53240</v>
      </c>
      <c r="U25" s="6">
        <v>63888</v>
      </c>
    </row>
    <row r="26" spans="7:24">
      <c r="G26" s="8">
        <v>40</v>
      </c>
      <c r="H26" s="32">
        <v>97260</v>
      </c>
      <c r="S26" s="34">
        <v>5.3916666666666666</v>
      </c>
      <c r="T26" s="3">
        <v>53540</v>
      </c>
      <c r="U26" s="6">
        <v>64248</v>
      </c>
    </row>
    <row r="27" spans="7:24">
      <c r="G27" s="8">
        <v>42</v>
      </c>
      <c r="H27" s="32">
        <v>72635</v>
      </c>
      <c r="S27" s="34">
        <v>5.4944444444444445</v>
      </c>
      <c r="T27" s="3">
        <v>75480</v>
      </c>
      <c r="U27" s="6">
        <v>90576</v>
      </c>
    </row>
    <row r="28" spans="7:24">
      <c r="G28" s="8">
        <v>43</v>
      </c>
      <c r="H28" s="32">
        <v>62316.666666666664</v>
      </c>
      <c r="S28" s="34">
        <v>5.4972222222222218</v>
      </c>
      <c r="T28" s="3">
        <v>75280</v>
      </c>
      <c r="U28" s="6">
        <v>90336</v>
      </c>
    </row>
    <row r="29" spans="7:24">
      <c r="G29" s="8">
        <v>44</v>
      </c>
      <c r="H29" s="32">
        <v>114870</v>
      </c>
      <c r="S29" s="34">
        <v>5.541666666666667</v>
      </c>
      <c r="T29" s="3">
        <v>53240</v>
      </c>
      <c r="U29" s="6">
        <v>63888</v>
      </c>
    </row>
    <row r="30" spans="7:24">
      <c r="G30" s="8">
        <v>46</v>
      </c>
      <c r="H30" s="32">
        <v>70610</v>
      </c>
      <c r="S30" s="34">
        <v>5.6111111111111107</v>
      </c>
      <c r="T30" s="3">
        <v>90700</v>
      </c>
      <c r="U30" s="6">
        <v>108840</v>
      </c>
    </row>
    <row r="31" spans="7:24">
      <c r="G31" s="8" t="s">
        <v>9</v>
      </c>
      <c r="H31" s="32">
        <v>77173.715846994543</v>
      </c>
      <c r="S31" s="34">
        <v>5.8361111111111112</v>
      </c>
      <c r="T31" s="3">
        <v>96140</v>
      </c>
      <c r="U31" s="6">
        <v>115368</v>
      </c>
    </row>
    <row r="32" spans="7:24">
      <c r="S32" s="34">
        <v>6.0055555555555555</v>
      </c>
      <c r="T32" s="3">
        <v>96140</v>
      </c>
      <c r="U32" s="6">
        <v>115368</v>
      </c>
    </row>
    <row r="33" spans="19:21">
      <c r="S33" s="34">
        <v>4.7138888888888886</v>
      </c>
      <c r="T33" s="3">
        <v>58940</v>
      </c>
      <c r="U33" s="6">
        <v>70728</v>
      </c>
    </row>
    <row r="34" spans="19:21">
      <c r="S34" s="34">
        <v>5.4527777777777775</v>
      </c>
      <c r="T34" s="3">
        <v>67910</v>
      </c>
      <c r="U34" s="6">
        <v>81492</v>
      </c>
    </row>
    <row r="35" spans="19:21">
      <c r="S35" s="34">
        <v>5.2222222222222223</v>
      </c>
      <c r="T35" s="3">
        <v>53540</v>
      </c>
      <c r="U35" s="6">
        <v>64248</v>
      </c>
    </row>
    <row r="36" spans="19:21">
      <c r="S36" s="34">
        <v>5.55</v>
      </c>
      <c r="T36" s="3">
        <v>43840</v>
      </c>
      <c r="U36" s="6">
        <v>52608</v>
      </c>
    </row>
    <row r="37" spans="19:21">
      <c r="S37" s="34">
        <v>4.8722222222222218</v>
      </c>
      <c r="T37" s="3">
        <v>68900</v>
      </c>
      <c r="U37" s="6">
        <v>82680</v>
      </c>
    </row>
    <row r="38" spans="19:21">
      <c r="S38" s="34">
        <v>5.4388888888888891</v>
      </c>
      <c r="T38" s="3">
        <v>71380</v>
      </c>
      <c r="U38" s="6">
        <v>85656</v>
      </c>
    </row>
    <row r="39" spans="19:21">
      <c r="S39" s="34">
        <v>4.5805555555555557</v>
      </c>
      <c r="T39" s="3">
        <v>112650</v>
      </c>
      <c r="U39" s="6">
        <v>135180</v>
      </c>
    </row>
    <row r="40" spans="19:21">
      <c r="S40" s="34">
        <v>5.4249999999999998</v>
      </c>
      <c r="T40" s="3">
        <v>88050</v>
      </c>
      <c r="U40" s="6">
        <v>105660</v>
      </c>
    </row>
    <row r="41" spans="19:21">
      <c r="S41" s="34">
        <v>5.1833333333333336</v>
      </c>
      <c r="T41" s="3">
        <v>104770</v>
      </c>
      <c r="U41" s="6">
        <v>125724</v>
      </c>
    </row>
    <row r="42" spans="19:21">
      <c r="S42" s="34">
        <v>5.072222222222222</v>
      </c>
      <c r="T42" s="3">
        <v>53540</v>
      </c>
      <c r="U42" s="6">
        <v>64248</v>
      </c>
    </row>
    <row r="43" spans="19:21">
      <c r="S43" s="34">
        <v>5.0138888888888893</v>
      </c>
      <c r="T43" s="3">
        <v>104770</v>
      </c>
      <c r="U43" s="6">
        <v>125724</v>
      </c>
    </row>
    <row r="44" spans="19:21">
      <c r="S44" s="34">
        <v>5.2972222222222225</v>
      </c>
      <c r="T44" s="3">
        <v>112780</v>
      </c>
      <c r="U44" s="6">
        <v>135336</v>
      </c>
    </row>
    <row r="45" spans="19:21">
      <c r="S45" s="34">
        <v>4.8944444444444448</v>
      </c>
      <c r="T45" s="3">
        <v>78390</v>
      </c>
      <c r="U45" s="6">
        <v>94068</v>
      </c>
    </row>
    <row r="46" spans="19:21">
      <c r="S46" s="34">
        <v>5.0638888888888891</v>
      </c>
      <c r="T46" s="3">
        <v>78390</v>
      </c>
      <c r="U46" s="6">
        <v>94068</v>
      </c>
    </row>
    <row r="47" spans="19:21">
      <c r="S47" s="34">
        <v>4.427777777777778</v>
      </c>
      <c r="T47" s="3">
        <v>70610</v>
      </c>
      <c r="U47" s="6">
        <v>84732</v>
      </c>
    </row>
    <row r="48" spans="19:21">
      <c r="S48" s="34">
        <v>5.4694444444444441</v>
      </c>
      <c r="T48" s="3">
        <v>65700</v>
      </c>
      <c r="U48" s="6">
        <v>78840</v>
      </c>
    </row>
    <row r="49" spans="19:21">
      <c r="S49" s="34">
        <v>5.6083333333333334</v>
      </c>
      <c r="T49" s="3">
        <v>71380</v>
      </c>
      <c r="U49" s="6">
        <v>85656</v>
      </c>
    </row>
    <row r="50" spans="19:21">
      <c r="S50" s="34">
        <v>4.4666666666666668</v>
      </c>
      <c r="T50" s="3">
        <v>79570</v>
      </c>
      <c r="U50" s="6">
        <v>95484</v>
      </c>
    </row>
    <row r="51" spans="19:21">
      <c r="S51" s="34">
        <v>5.041666666666667</v>
      </c>
      <c r="T51" s="3">
        <v>68900</v>
      </c>
      <c r="U51" s="6">
        <v>82680</v>
      </c>
    </row>
    <row r="52" spans="19:21">
      <c r="S52" s="34">
        <v>5.45</v>
      </c>
      <c r="T52" s="3">
        <v>56870</v>
      </c>
      <c r="U52" s="6">
        <v>68244</v>
      </c>
    </row>
    <row r="53" spans="19:21">
      <c r="S53" s="34">
        <v>5.5944444444444441</v>
      </c>
      <c r="T53" s="3">
        <v>73505</v>
      </c>
      <c r="U53" s="6">
        <v>176412</v>
      </c>
    </row>
    <row r="54" spans="19:21">
      <c r="S54" s="34">
        <v>5.125</v>
      </c>
      <c r="T54" s="3">
        <v>112780</v>
      </c>
      <c r="U54" s="6">
        <v>135336</v>
      </c>
    </row>
    <row r="55" spans="19:21">
      <c r="S55" s="34">
        <v>4.2583333333333337</v>
      </c>
      <c r="T55" s="3">
        <v>57060</v>
      </c>
      <c r="U55" s="6">
        <v>136944</v>
      </c>
    </row>
    <row r="56" spans="19:21">
      <c r="S56" s="34">
        <v>5.958333333333333</v>
      </c>
      <c r="T56" s="3">
        <v>115440</v>
      </c>
      <c r="U56" s="6">
        <v>138528</v>
      </c>
    </row>
    <row r="57" spans="19:21">
      <c r="S57" s="34">
        <v>4.416666666666667</v>
      </c>
      <c r="T57" s="3">
        <v>60660</v>
      </c>
      <c r="U57" s="6">
        <v>291168</v>
      </c>
    </row>
    <row r="58" spans="19:21">
      <c r="S58" s="34">
        <v>5.9527777777777775</v>
      </c>
      <c r="T58" s="3">
        <v>62780</v>
      </c>
      <c r="U58" s="6">
        <v>75336</v>
      </c>
    </row>
    <row r="59" spans="19:21">
      <c r="S59" s="34">
        <v>4.95</v>
      </c>
      <c r="T59" s="3">
        <v>53870</v>
      </c>
      <c r="U59" s="6">
        <v>64644</v>
      </c>
    </row>
    <row r="60" spans="19:21">
      <c r="S60" s="34">
        <v>6.0250000000000004</v>
      </c>
      <c r="T60" s="3">
        <v>115880</v>
      </c>
      <c r="U60" s="6">
        <v>278112</v>
      </c>
    </row>
    <row r="61" spans="19:21">
      <c r="S61" s="34">
        <v>5.8638888888888889</v>
      </c>
      <c r="T61" s="3">
        <v>93995</v>
      </c>
      <c r="U61" s="6">
        <v>225588</v>
      </c>
    </row>
    <row r="62" spans="19:21">
      <c r="S62" s="34">
        <v>5.3</v>
      </c>
      <c r="T62" s="3">
        <v>79075</v>
      </c>
      <c r="U62" s="6">
        <v>189780</v>
      </c>
    </row>
    <row r="63" spans="19:21">
      <c r="S63" s="34">
        <v>5.0888888888888886</v>
      </c>
      <c r="T63" s="3">
        <v>96350</v>
      </c>
      <c r="U63" s="6">
        <v>231240</v>
      </c>
    </row>
    <row r="64" spans="19:21">
      <c r="S64" s="34">
        <v>5.3805555555555555</v>
      </c>
      <c r="T64" s="3">
        <v>43840</v>
      </c>
      <c r="U64" s="6">
        <v>52608</v>
      </c>
    </row>
    <row r="65" spans="19:21">
      <c r="S65" s="34">
        <v>5.6333333333333337</v>
      </c>
      <c r="T65" s="3">
        <v>99750</v>
      </c>
      <c r="U65" s="6">
        <v>119700</v>
      </c>
    </row>
    <row r="66" spans="19:21">
      <c r="S66" s="34">
        <v>6.0750000000000002</v>
      </c>
      <c r="T66" s="3">
        <v>37920</v>
      </c>
      <c r="U66" s="6">
        <v>45504</v>
      </c>
    </row>
    <row r="67" spans="19:21">
      <c r="S67" s="34">
        <v>4.2472222222222218</v>
      </c>
      <c r="T67" s="3">
        <v>57090</v>
      </c>
      <c r="U67" s="6">
        <v>68508</v>
      </c>
    </row>
    <row r="68" spans="19:21">
      <c r="S68" s="34">
        <v>5.9611111111111112</v>
      </c>
      <c r="T68" s="3">
        <v>41980</v>
      </c>
      <c r="U68" s="6">
        <v>50376</v>
      </c>
    </row>
    <row r="69" spans="19:21">
      <c r="S69" s="34">
        <v>5.6916666666666664</v>
      </c>
      <c r="T69" s="3">
        <v>75880</v>
      </c>
      <c r="U69" s="6">
        <v>91056</v>
      </c>
    </row>
    <row r="70" spans="19:21">
      <c r="S70" s="34">
        <v>5.2833333333333332</v>
      </c>
      <c r="T70" s="3">
        <v>93005</v>
      </c>
      <c r="U70" s="6">
        <v>223212</v>
      </c>
    </row>
    <row r="71" spans="19:21">
      <c r="S71" s="34">
        <v>4.5222222222222221</v>
      </c>
      <c r="T71" s="3">
        <v>80825</v>
      </c>
      <c r="U71" s="6">
        <v>193980</v>
      </c>
    </row>
    <row r="72" spans="19:21">
      <c r="S72" s="34">
        <v>4.7055555555555557</v>
      </c>
      <c r="T72" s="3">
        <v>64000</v>
      </c>
      <c r="U72" s="6">
        <v>76800</v>
      </c>
    </row>
    <row r="73" spans="19:21">
      <c r="S73" s="34">
        <v>5.427777777777778</v>
      </c>
      <c r="T73" s="3">
        <v>87620</v>
      </c>
      <c r="U73" s="6">
        <v>105144</v>
      </c>
    </row>
    <row r="74" spans="19:21">
      <c r="S74" s="34">
        <v>6.3</v>
      </c>
      <c r="T74" s="3">
        <v>74935</v>
      </c>
      <c r="U74" s="6">
        <v>179844</v>
      </c>
    </row>
    <row r="75" spans="19:21">
      <c r="S75" s="34">
        <v>5.85</v>
      </c>
      <c r="T75" s="3">
        <v>75970</v>
      </c>
      <c r="U75" s="6">
        <v>91164</v>
      </c>
    </row>
    <row r="76" spans="19:21">
      <c r="S76" s="34">
        <v>5.3250000000000002</v>
      </c>
      <c r="T76" s="3">
        <v>75480</v>
      </c>
      <c r="U76" s="6">
        <v>90576</v>
      </c>
    </row>
    <row r="77" spans="19:21">
      <c r="S77" s="34">
        <v>5.9083333333333332</v>
      </c>
      <c r="T77" s="3">
        <v>81640</v>
      </c>
      <c r="U77" s="6">
        <v>195936</v>
      </c>
    </row>
    <row r="78" spans="19:21">
      <c r="S78" s="34">
        <v>4.9916666666666663</v>
      </c>
      <c r="T78" s="3">
        <v>78540</v>
      </c>
      <c r="U78" s="6">
        <v>94248</v>
      </c>
    </row>
    <row r="79" spans="19:21">
      <c r="S79" s="34">
        <v>4.3472222222222223</v>
      </c>
      <c r="T79" s="3">
        <v>109190</v>
      </c>
      <c r="U79" s="6">
        <v>131028</v>
      </c>
    </row>
    <row r="80" spans="19:21">
      <c r="S80" s="34">
        <v>4.3611111111111107</v>
      </c>
      <c r="T80" s="3">
        <v>49630</v>
      </c>
      <c r="U80" s="6">
        <v>59556</v>
      </c>
    </row>
    <row r="81" spans="19:21">
      <c r="S81" s="34">
        <v>4.6138888888888889</v>
      </c>
      <c r="T81" s="3">
        <v>99970</v>
      </c>
      <c r="U81" s="6">
        <v>119964</v>
      </c>
    </row>
    <row r="82" spans="19:21">
      <c r="S82" s="34">
        <v>4.3527777777777779</v>
      </c>
      <c r="T82" s="3">
        <v>103550</v>
      </c>
      <c r="U82" s="6">
        <v>124260</v>
      </c>
    </row>
    <row r="83" spans="19:21">
      <c r="S83" s="34">
        <v>4.9444444444444446</v>
      </c>
      <c r="T83" s="3">
        <v>48950</v>
      </c>
      <c r="U83" s="6">
        <v>58740</v>
      </c>
    </row>
    <row r="84" spans="19:21">
      <c r="S84" s="34">
        <v>5.1527777777777777</v>
      </c>
      <c r="T84" s="3">
        <v>52610</v>
      </c>
      <c r="U84" s="6">
        <v>63132</v>
      </c>
    </row>
    <row r="85" spans="19:21">
      <c r="S85" s="34">
        <v>4.458333333333333</v>
      </c>
      <c r="T85" s="3">
        <v>92085</v>
      </c>
      <c r="U85" s="6">
        <v>221004</v>
      </c>
    </row>
    <row r="86" spans="19:21">
      <c r="S86" s="34">
        <v>5.1277777777777782</v>
      </c>
      <c r="T86" s="3">
        <v>92450</v>
      </c>
      <c r="U86" s="6">
        <v>110940</v>
      </c>
    </row>
    <row r="87" spans="19:21">
      <c r="S87" s="34">
        <v>5.8555555555555552</v>
      </c>
      <c r="T87" s="3">
        <v>112650</v>
      </c>
      <c r="U87" s="6">
        <v>135180</v>
      </c>
    </row>
    <row r="88" spans="19:21">
      <c r="S88" s="34">
        <v>4.2972222222222225</v>
      </c>
      <c r="T88" s="3">
        <v>79570</v>
      </c>
      <c r="U88" s="6">
        <v>95484</v>
      </c>
    </row>
    <row r="89" spans="19:21">
      <c r="S89" s="34">
        <v>4.4361111111111109</v>
      </c>
      <c r="T89" s="3">
        <v>80700</v>
      </c>
      <c r="U89" s="6">
        <v>96840</v>
      </c>
    </row>
    <row r="90" spans="19:21">
      <c r="S90" s="34">
        <v>6.3111111111111109</v>
      </c>
      <c r="T90" s="3">
        <v>118840</v>
      </c>
      <c r="U90" s="6">
        <v>142608</v>
      </c>
    </row>
    <row r="91" spans="19:21">
      <c r="S91" s="34">
        <v>6.25</v>
      </c>
      <c r="T91" s="3">
        <v>48170</v>
      </c>
      <c r="U91" s="6">
        <v>57804</v>
      </c>
    </row>
    <row r="92" spans="19:21">
      <c r="S92" s="34">
        <v>5.2527777777777782</v>
      </c>
      <c r="T92" s="3">
        <v>45510</v>
      </c>
      <c r="U92" s="6">
        <v>54612</v>
      </c>
    </row>
    <row r="93" spans="19:21">
      <c r="S93" s="34">
        <v>6.1277777777777782</v>
      </c>
      <c r="T93" s="3">
        <v>115165</v>
      </c>
      <c r="U93" s="6">
        <v>276396</v>
      </c>
    </row>
    <row r="94" spans="19:21">
      <c r="S94" s="34">
        <v>5.3166666666666664</v>
      </c>
      <c r="T94" s="3">
        <v>109160</v>
      </c>
      <c r="U94" s="6">
        <v>130992</v>
      </c>
    </row>
    <row r="95" spans="19:21">
      <c r="S95" s="34">
        <v>4.6722222222222225</v>
      </c>
      <c r="T95" s="3">
        <v>113280</v>
      </c>
      <c r="U95" s="6">
        <v>135936</v>
      </c>
    </row>
    <row r="96" spans="19:21">
      <c r="S96" s="34">
        <v>5.6055555555555552</v>
      </c>
      <c r="T96" s="3">
        <v>69120</v>
      </c>
      <c r="U96" s="6">
        <v>82944</v>
      </c>
    </row>
    <row r="97" spans="19:21">
      <c r="S97" s="34">
        <v>5.1111111111111107</v>
      </c>
      <c r="T97" s="3">
        <v>118100</v>
      </c>
      <c r="U97" s="6">
        <v>141720</v>
      </c>
    </row>
    <row r="98" spans="19:21">
      <c r="S98" s="34">
        <v>5.1138888888888889</v>
      </c>
      <c r="T98" s="3">
        <v>62925</v>
      </c>
      <c r="U98" s="6">
        <v>151020</v>
      </c>
    </row>
    <row r="99" spans="19:21">
      <c r="S99" s="34">
        <v>3.4611111111111112</v>
      </c>
      <c r="T99" s="3">
        <v>114870</v>
      </c>
      <c r="U99" s="6">
        <v>0</v>
      </c>
    </row>
    <row r="100" spans="19:21">
      <c r="S100" s="34">
        <v>5.9916666666666663</v>
      </c>
      <c r="T100" s="3">
        <v>54970</v>
      </c>
      <c r="U100" s="6">
        <v>65964</v>
      </c>
    </row>
    <row r="101" spans="19:21">
      <c r="S101" s="34">
        <v>5.7944444444444443</v>
      </c>
      <c r="T101" s="3">
        <v>92700</v>
      </c>
      <c r="U101" s="6">
        <v>111240</v>
      </c>
    </row>
    <row r="102" spans="19:21">
      <c r="S102" s="34">
        <v>5.4833333333333334</v>
      </c>
      <c r="T102" s="3">
        <v>65920</v>
      </c>
      <c r="U102" s="6">
        <v>79104</v>
      </c>
    </row>
    <row r="103" spans="19:21">
      <c r="S103" s="34">
        <v>5.7388888888888889</v>
      </c>
      <c r="T103" s="3">
        <v>47360</v>
      </c>
      <c r="U103" s="6">
        <v>56832</v>
      </c>
    </row>
    <row r="104" spans="19:21">
      <c r="S104" s="34">
        <v>4.5138888888888893</v>
      </c>
      <c r="T104" s="3">
        <v>50485</v>
      </c>
      <c r="U104" s="6">
        <v>121164</v>
      </c>
    </row>
    <row r="105" spans="19:21">
      <c r="S105" s="34">
        <v>4.5611111111111109</v>
      </c>
      <c r="T105" s="3">
        <v>104120</v>
      </c>
      <c r="U105" s="6">
        <v>124944</v>
      </c>
    </row>
    <row r="106" spans="19:21">
      <c r="S106" s="34">
        <v>4.3444444444444441</v>
      </c>
      <c r="T106" s="3">
        <v>40400</v>
      </c>
      <c r="U106" s="6">
        <v>48480</v>
      </c>
    </row>
    <row r="107" spans="19:21">
      <c r="S107" s="34">
        <v>5.708333333333333</v>
      </c>
      <c r="T107" s="3">
        <v>91650</v>
      </c>
      <c r="U107" s="6">
        <v>109980</v>
      </c>
    </row>
    <row r="108" spans="19:21">
      <c r="S108" s="34">
        <v>4.6416666666666666</v>
      </c>
      <c r="T108" s="3">
        <v>36040</v>
      </c>
      <c r="U108" s="6">
        <v>43248</v>
      </c>
    </row>
    <row r="109" spans="19:21">
      <c r="S109" s="34">
        <v>4.6805555555555554</v>
      </c>
      <c r="T109" s="3">
        <v>96800</v>
      </c>
      <c r="U109" s="6">
        <v>116160</v>
      </c>
    </row>
    <row r="110" spans="19:21">
      <c r="S110" s="34">
        <v>5.6888888888888891</v>
      </c>
      <c r="T110" s="3">
        <v>59430</v>
      </c>
      <c r="U110" s="6">
        <v>71316</v>
      </c>
    </row>
    <row r="111" spans="19:21">
      <c r="S111" s="34">
        <v>6.177777777777778</v>
      </c>
      <c r="T111" s="3">
        <v>65360</v>
      </c>
      <c r="U111" s="6">
        <v>78432</v>
      </c>
    </row>
    <row r="112" spans="19:21">
      <c r="S112" s="34">
        <v>4.666666666666667</v>
      </c>
      <c r="T112" s="3">
        <v>41570</v>
      </c>
      <c r="U112" s="6">
        <v>49884</v>
      </c>
    </row>
    <row r="113" spans="19:21">
      <c r="S113" s="34">
        <v>4.333333333333333</v>
      </c>
      <c r="T113" s="3">
        <v>70270</v>
      </c>
      <c r="U113" s="6">
        <v>84324</v>
      </c>
    </row>
    <row r="114" spans="19:21">
      <c r="S114" s="34">
        <v>4.6277777777777782</v>
      </c>
      <c r="T114" s="3">
        <v>92085</v>
      </c>
      <c r="U114" s="6">
        <v>221004</v>
      </c>
    </row>
    <row r="115" spans="19:21">
      <c r="S115" s="34">
        <v>5.4222222222222225</v>
      </c>
      <c r="T115" s="3">
        <v>45510</v>
      </c>
      <c r="U115" s="6">
        <v>54612</v>
      </c>
    </row>
    <row r="116" spans="19:21">
      <c r="S116" s="34">
        <v>5.6194444444444445</v>
      </c>
      <c r="T116" s="3">
        <v>56870</v>
      </c>
      <c r="U116" s="6">
        <v>68244</v>
      </c>
    </row>
    <row r="117" spans="19:21">
      <c r="S117" s="34">
        <v>5.9638888888888886</v>
      </c>
      <c r="T117" s="3">
        <v>92700</v>
      </c>
      <c r="U117" s="6">
        <v>111240</v>
      </c>
    </row>
    <row r="118" spans="19:21">
      <c r="S118" s="34">
        <v>5.4638888888888886</v>
      </c>
      <c r="T118" s="3">
        <v>74550</v>
      </c>
      <c r="U118" s="6">
        <v>89460</v>
      </c>
    </row>
    <row r="119" spans="19:21">
      <c r="S119" s="34">
        <v>4.5166666666666666</v>
      </c>
      <c r="T119" s="3">
        <v>109190</v>
      </c>
      <c r="U119" s="6">
        <v>131028</v>
      </c>
    </row>
    <row r="120" spans="19:21">
      <c r="S120" s="34">
        <v>4.6055555555555552</v>
      </c>
      <c r="T120" s="3">
        <v>80700</v>
      </c>
      <c r="U120" s="6">
        <v>96840</v>
      </c>
    </row>
    <row r="121" spans="19:21">
      <c r="S121" s="34">
        <v>6.4194444444444443</v>
      </c>
      <c r="T121" s="3">
        <v>48170</v>
      </c>
      <c r="U121" s="6">
        <v>57804</v>
      </c>
    </row>
    <row r="122" spans="19:21">
      <c r="S122" s="34">
        <v>6.2472222222222218</v>
      </c>
      <c r="T122" s="3">
        <v>37920</v>
      </c>
      <c r="U122" s="6">
        <v>45504</v>
      </c>
    </row>
    <row r="123" spans="19:21">
      <c r="S123" s="34">
        <v>4.5305555555555559</v>
      </c>
      <c r="T123" s="3">
        <v>49630</v>
      </c>
      <c r="U123" s="6">
        <v>59556</v>
      </c>
    </row>
    <row r="124" spans="19:21">
      <c r="S124" s="34">
        <v>6.1222222222222218</v>
      </c>
      <c r="T124" s="3">
        <v>62780</v>
      </c>
      <c r="U124" s="6">
        <v>75336</v>
      </c>
    </row>
    <row r="125" spans="19:21">
      <c r="S125" s="34">
        <v>5.2861111111111114</v>
      </c>
      <c r="T125" s="3">
        <v>76900</v>
      </c>
      <c r="U125" s="6">
        <v>92280</v>
      </c>
    </row>
    <row r="126" spans="19:21">
      <c r="S126" s="34">
        <v>6.1611111111111114</v>
      </c>
      <c r="T126" s="3">
        <v>54970</v>
      </c>
      <c r="U126" s="6">
        <v>65964</v>
      </c>
    </row>
    <row r="127" spans="19:21">
      <c r="S127" s="34">
        <v>4.8138888888888891</v>
      </c>
      <c r="T127" s="3">
        <v>36040</v>
      </c>
      <c r="U127" s="6">
        <v>43248</v>
      </c>
    </row>
    <row r="128" spans="19:21">
      <c r="S128" s="34">
        <v>4.3694444444444445</v>
      </c>
      <c r="T128" s="3">
        <v>75000</v>
      </c>
      <c r="U128" s="6">
        <v>90000</v>
      </c>
    </row>
    <row r="129" spans="19:21">
      <c r="S129" s="34">
        <v>5.5972222222222223</v>
      </c>
      <c r="T129" s="3">
        <v>87620</v>
      </c>
      <c r="U129" s="6">
        <v>105144</v>
      </c>
    </row>
    <row r="130" spans="19:21">
      <c r="S130" s="34">
        <v>6.4805555555555552</v>
      </c>
      <c r="T130" s="3">
        <v>118840</v>
      </c>
      <c r="U130" s="6">
        <v>142608</v>
      </c>
    </row>
    <row r="131" spans="19:21">
      <c r="S131" s="34">
        <v>5.6611111111111114</v>
      </c>
      <c r="T131" s="3">
        <v>75280</v>
      </c>
      <c r="U131" s="6">
        <v>90336</v>
      </c>
    </row>
    <row r="132" spans="19:21">
      <c r="S132" s="34">
        <v>4.8388888888888886</v>
      </c>
      <c r="T132" s="3">
        <v>41570</v>
      </c>
      <c r="U132" s="6">
        <v>49884</v>
      </c>
    </row>
    <row r="133" spans="19:21">
      <c r="S133" s="34">
        <v>5.6527777777777777</v>
      </c>
      <c r="T133" s="3">
        <v>65920</v>
      </c>
      <c r="U133" s="6">
        <v>79104</v>
      </c>
    </row>
    <row r="134" spans="19:21">
      <c r="S134" s="34">
        <v>4.7777777777777777</v>
      </c>
      <c r="T134" s="3">
        <v>99970</v>
      </c>
      <c r="U134" s="6">
        <v>119964</v>
      </c>
    </row>
    <row r="135" spans="19:21">
      <c r="S135" s="34">
        <v>5.2611111111111111</v>
      </c>
      <c r="T135" s="3">
        <v>96350</v>
      </c>
      <c r="U135" s="6">
        <v>231240</v>
      </c>
    </row>
    <row r="136" spans="19:21">
      <c r="S136" s="34">
        <v>5.322222222222222</v>
      </c>
      <c r="T136" s="3">
        <v>52610</v>
      </c>
      <c r="U136" s="6">
        <v>63132</v>
      </c>
    </row>
    <row r="137" spans="19:21">
      <c r="S137" s="34">
        <v>6.1305555555555555</v>
      </c>
      <c r="T137" s="3">
        <v>41980</v>
      </c>
      <c r="U137" s="6">
        <v>50376</v>
      </c>
    </row>
    <row r="138" spans="19:21">
      <c r="S138" s="34">
        <v>6.1944444444444446</v>
      </c>
      <c r="T138" s="3">
        <v>119110</v>
      </c>
      <c r="U138" s="6">
        <v>142932</v>
      </c>
    </row>
    <row r="139" spans="19:21">
      <c r="S139" s="34">
        <v>4.5861111111111112</v>
      </c>
      <c r="T139" s="3">
        <v>61850</v>
      </c>
      <c r="U139" s="6">
        <v>222660</v>
      </c>
    </row>
    <row r="140" spans="19:21">
      <c r="S140" s="34">
        <v>5.7750000000000004</v>
      </c>
      <c r="T140" s="3">
        <v>90700</v>
      </c>
      <c r="U140" s="6">
        <v>108840</v>
      </c>
    </row>
    <row r="141" spans="19:21">
      <c r="S141" s="34">
        <v>5.8805555555555555</v>
      </c>
      <c r="T141" s="3">
        <v>91650</v>
      </c>
      <c r="U141" s="6">
        <v>109980</v>
      </c>
    </row>
    <row r="142" spans="19:21">
      <c r="S142" s="34">
        <v>4.5027777777777782</v>
      </c>
      <c r="T142" s="3">
        <v>70270</v>
      </c>
      <c r="U142" s="6">
        <v>84324</v>
      </c>
    </row>
    <row r="143" spans="19:21">
      <c r="S143" s="34">
        <v>6.0194444444444448</v>
      </c>
      <c r="T143" s="3">
        <v>75970</v>
      </c>
      <c r="U143" s="6">
        <v>91164</v>
      </c>
    </row>
    <row r="144" spans="19:21">
      <c r="S144" s="34">
        <v>6.0777777777777775</v>
      </c>
      <c r="T144" s="3">
        <v>115920</v>
      </c>
      <c r="U144" s="6">
        <v>139104</v>
      </c>
    </row>
    <row r="145" spans="19:21">
      <c r="S145" s="34">
        <v>6.3472222222222223</v>
      </c>
      <c r="T145" s="3">
        <v>65360</v>
      </c>
      <c r="U145" s="6">
        <v>78432</v>
      </c>
    </row>
    <row r="146" spans="19:21">
      <c r="S146" s="34">
        <v>4.8777777777777782</v>
      </c>
      <c r="T146" s="3">
        <v>64000</v>
      </c>
      <c r="U146" s="6">
        <v>76800</v>
      </c>
    </row>
    <row r="147" spans="19:21">
      <c r="S147" s="34">
        <v>5.4749999999999996</v>
      </c>
      <c r="T147" s="3">
        <v>104410</v>
      </c>
      <c r="U147" s="6">
        <v>125292</v>
      </c>
    </row>
    <row r="148" spans="19:21">
      <c r="S148" s="34">
        <v>6.0333333333333332</v>
      </c>
      <c r="T148" s="3">
        <v>112110</v>
      </c>
      <c r="U148" s="6">
        <v>134532</v>
      </c>
    </row>
    <row r="149" spans="19:21">
      <c r="S149" s="34">
        <v>5.1194444444444445</v>
      </c>
      <c r="T149" s="3">
        <v>53870</v>
      </c>
      <c r="U149" s="6">
        <v>64644</v>
      </c>
    </row>
    <row r="150" spans="19:21">
      <c r="S150" s="34">
        <v>5.4861111111111107</v>
      </c>
      <c r="T150" s="3">
        <v>109160</v>
      </c>
      <c r="U150" s="6">
        <v>130992</v>
      </c>
    </row>
    <row r="151" spans="19:21">
      <c r="S151" s="34">
        <v>5.7972222222222225</v>
      </c>
      <c r="T151" s="3">
        <v>99750</v>
      </c>
      <c r="U151" s="6">
        <v>119700</v>
      </c>
    </row>
    <row r="152" spans="19:21">
      <c r="S152" s="34">
        <v>4.6861111111111109</v>
      </c>
      <c r="T152" s="3">
        <v>58100</v>
      </c>
      <c r="U152" s="6">
        <v>69720</v>
      </c>
    </row>
    <row r="153" spans="19:21">
      <c r="S153" s="34">
        <v>4.8444444444444441</v>
      </c>
      <c r="T153" s="3">
        <v>113280</v>
      </c>
      <c r="U153" s="6">
        <v>135936</v>
      </c>
    </row>
    <row r="154" spans="19:21">
      <c r="S154" s="34">
        <v>4.2888888888888888</v>
      </c>
      <c r="T154" s="3">
        <v>86570</v>
      </c>
      <c r="U154" s="6">
        <v>103884</v>
      </c>
    </row>
    <row r="155" spans="19:21">
      <c r="S155" s="34">
        <v>5.7694444444444448</v>
      </c>
      <c r="T155" s="3">
        <v>69120</v>
      </c>
      <c r="U155" s="6">
        <v>82944</v>
      </c>
    </row>
    <row r="156" spans="19:21">
      <c r="S156" s="34">
        <v>3.6277777777777778</v>
      </c>
      <c r="T156" s="3">
        <v>114870</v>
      </c>
      <c r="U156" s="6">
        <v>0</v>
      </c>
    </row>
    <row r="157" spans="19:21">
      <c r="S157" s="34">
        <v>5.3138888888888891</v>
      </c>
      <c r="T157" s="3">
        <v>106460</v>
      </c>
      <c r="U157" s="6">
        <v>127752</v>
      </c>
    </row>
    <row r="158" spans="19:21">
      <c r="S158" s="34">
        <v>4.1722222222222225</v>
      </c>
      <c r="T158" s="3">
        <v>91945</v>
      </c>
      <c r="U158" s="6">
        <v>220668</v>
      </c>
    </row>
    <row r="159" spans="19:21">
      <c r="S159" s="34">
        <v>4.7249999999999996</v>
      </c>
      <c r="T159" s="3">
        <v>104120</v>
      </c>
      <c r="U159" s="6">
        <v>124944</v>
      </c>
    </row>
    <row r="160" spans="19:21">
      <c r="S160" s="34">
        <v>4.3833333333333337</v>
      </c>
      <c r="T160" s="3">
        <v>91310</v>
      </c>
      <c r="U160" s="6">
        <v>109572</v>
      </c>
    </row>
    <row r="161" spans="19:21">
      <c r="S161" s="34">
        <v>4.6444444444444448</v>
      </c>
      <c r="T161" s="3">
        <v>33920</v>
      </c>
      <c r="U161" s="6">
        <v>40704</v>
      </c>
    </row>
    <row r="162" spans="19:21">
      <c r="S162" s="34">
        <v>6.4694444444444441</v>
      </c>
      <c r="T162" s="3">
        <v>34980</v>
      </c>
      <c r="U162" s="6">
        <v>41976</v>
      </c>
    </row>
    <row r="163" spans="19:21">
      <c r="S163" s="34">
        <v>5.1611111111111114</v>
      </c>
      <c r="T163" s="3">
        <v>78540</v>
      </c>
      <c r="U163" s="6">
        <v>94248</v>
      </c>
    </row>
    <row r="164" spans="19:21">
      <c r="S164" s="34">
        <v>5.7583333333333337</v>
      </c>
      <c r="T164" s="3">
        <v>58960</v>
      </c>
      <c r="U164" s="6">
        <v>70752</v>
      </c>
    </row>
    <row r="165" spans="19:21">
      <c r="S165" s="34">
        <v>5.8611111111111107</v>
      </c>
      <c r="T165" s="3">
        <v>59430</v>
      </c>
      <c r="U165" s="6">
        <v>71316</v>
      </c>
    </row>
    <row r="166" spans="19:21">
      <c r="S166" s="34" t="s">
        <v>9</v>
      </c>
      <c r="T166" s="3">
        <v>77173.715846994543</v>
      </c>
      <c r="U166" s="6">
        <v>16536576</v>
      </c>
    </row>
  </sheetData>
  <pageMargins left="0.7" right="0.7" top="0.75" bottom="0.75" header="0.3" footer="0.3"/>
  <pageSetup paperSize="9" orientation="portrait" horizontalDpi="0" verticalDpi="0"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2:P189"/>
  <sheetViews>
    <sheetView showGridLines="0" zoomScaleNormal="100" workbookViewId="0">
      <selection activeCell="O20" sqref="O20"/>
    </sheetView>
  </sheetViews>
  <sheetFormatPr defaultColWidth="9" defaultRowHeight="14.4"/>
  <cols>
    <col min="1" max="1" width="11.77734375" bestFit="1" customWidth="1"/>
    <col min="2" max="2" width="27.21875" bestFit="1" customWidth="1"/>
    <col min="3" max="3" width="9.33203125" bestFit="1" customWidth="1"/>
    <col min="4" max="4" width="13.33203125" style="8" bestFit="1" customWidth="1"/>
    <col min="5" max="5" width="6.44140625" bestFit="1" customWidth="1"/>
    <col min="6" max="6" width="25" style="9" bestFit="1" customWidth="1"/>
    <col min="7" max="7" width="12.109375" bestFit="1" customWidth="1"/>
    <col min="8" max="8" width="13.109375" style="9" bestFit="1" customWidth="1"/>
    <col min="9" max="9" width="11.5546875" style="9" bestFit="1" customWidth="1"/>
    <col min="10" max="10" width="11.33203125" style="9" bestFit="1" customWidth="1"/>
    <col min="11" max="11" width="12.109375" bestFit="1" customWidth="1"/>
    <col min="12" max="12" width="16.21875" bestFit="1" customWidth="1"/>
  </cols>
  <sheetData>
    <row r="2" spans="1:16">
      <c r="B2" s="10" t="s">
        <v>198</v>
      </c>
      <c r="C2" s="10" t="s">
        <v>0</v>
      </c>
      <c r="D2" s="11" t="s">
        <v>5</v>
      </c>
      <c r="E2" s="10" t="s">
        <v>2</v>
      </c>
      <c r="F2" s="12" t="s">
        <v>199</v>
      </c>
      <c r="G2" s="10" t="s">
        <v>200</v>
      </c>
      <c r="H2" s="12" t="s">
        <v>201</v>
      </c>
      <c r="I2" s="12" t="s">
        <v>202</v>
      </c>
      <c r="J2" s="13" t="s">
        <v>203</v>
      </c>
      <c r="K2" s="12" t="s">
        <v>204</v>
      </c>
      <c r="M2" s="95" t="s">
        <v>231</v>
      </c>
      <c r="N2" s="95"/>
      <c r="O2" s="95"/>
      <c r="P2" s="95"/>
    </row>
    <row r="3" spans="1:16">
      <c r="A3" t="s">
        <v>205</v>
      </c>
      <c r="B3" s="14" t="s">
        <v>43</v>
      </c>
      <c r="C3" s="15" t="str" cm="1">
        <f t="array" aca="1" ref="C3:K3" ca="1">_xlfn.XLOOKUP(B3,Employee_Details[Name],Employee_Details[[Gender]:[Bonus]],"N/A")</f>
        <v>Male</v>
      </c>
      <c r="D3" s="16" t="str">
        <f ca="1"/>
        <v>Finance</v>
      </c>
      <c r="E3" s="17">
        <f ca="1"/>
        <v>36</v>
      </c>
      <c r="F3" s="18">
        <f ca="1"/>
        <v>44333</v>
      </c>
      <c r="G3" s="62">
        <f ca="1"/>
        <v>71380</v>
      </c>
      <c r="H3" s="19" t="str">
        <f ca="1"/>
        <v>Average</v>
      </c>
      <c r="I3" s="19" t="str">
        <f ca="1"/>
        <v>New Zealand</v>
      </c>
      <c r="J3" s="20">
        <f ca="1"/>
        <v>5.4749999999999996</v>
      </c>
      <c r="K3" s="62">
        <f ca="1"/>
        <v>85656</v>
      </c>
      <c r="M3" s="95"/>
      <c r="N3" s="95"/>
      <c r="O3" s="95"/>
      <c r="P3" s="95"/>
    </row>
    <row r="5" spans="1:16">
      <c r="B5" s="21" t="s">
        <v>1</v>
      </c>
      <c r="C5" s="21" t="s">
        <v>0</v>
      </c>
      <c r="D5" s="22" t="s">
        <v>5</v>
      </c>
      <c r="E5" s="21" t="s">
        <v>2</v>
      </c>
      <c r="F5" s="23" t="s">
        <v>199</v>
      </c>
      <c r="G5" s="21" t="s">
        <v>200</v>
      </c>
      <c r="H5" s="24" t="s">
        <v>201</v>
      </c>
      <c r="I5" s="24" t="s">
        <v>202</v>
      </c>
      <c r="J5" s="24" t="s">
        <v>203</v>
      </c>
      <c r="K5" s="24" t="s">
        <v>204</v>
      </c>
      <c r="L5" s="37" t="s">
        <v>229</v>
      </c>
    </row>
    <row r="6" spans="1:16">
      <c r="B6" t="s">
        <v>10</v>
      </c>
      <c r="C6" t="s">
        <v>7</v>
      </c>
      <c r="D6" s="8" t="s">
        <v>21</v>
      </c>
      <c r="E6">
        <v>25</v>
      </c>
      <c r="F6" s="25">
        <v>44322</v>
      </c>
      <c r="G6" s="30">
        <v>65700</v>
      </c>
      <c r="H6" s="9" t="s">
        <v>208</v>
      </c>
      <c r="I6" s="28" t="s">
        <v>212</v>
      </c>
      <c r="J6" s="26">
        <f ca="1">(Calculations!$C$19-Employee_Details[[#This Row],[Date Joined]])/360</f>
        <v>5.5055555555555555</v>
      </c>
      <c r="K6" s="31">
        <f ca="1">IF(Employee_Details[[#This Row],[Tenure]]&gt;4,1.2*Employee_Details[[#This Row],[Salary]],0)</f>
        <v>78840</v>
      </c>
      <c r="L6" s="26">
        <f ca="1">IF(Employee_Details[[#This Row],[Bonus]]&gt;0,1,0)</f>
        <v>1</v>
      </c>
      <c r="O6">
        <f ca="1">COUNTIF(Employee_Details[Count Bonus],"&gt;"&amp;0)</f>
        <v>181</v>
      </c>
    </row>
    <row r="7" spans="1:16">
      <c r="B7" t="s">
        <v>13</v>
      </c>
      <c r="C7" t="s">
        <v>6</v>
      </c>
      <c r="D7" s="8" t="s">
        <v>24</v>
      </c>
      <c r="E7">
        <v>27</v>
      </c>
      <c r="F7" s="25">
        <v>44686</v>
      </c>
      <c r="G7" s="30">
        <v>83750</v>
      </c>
      <c r="H7" s="9" t="s">
        <v>208</v>
      </c>
      <c r="I7" s="9" t="s">
        <v>207</v>
      </c>
      <c r="J7" s="26">
        <f ca="1">(Calculations!$C$19-Employee_Details[[#This Row],[Date Joined]])/360</f>
        <v>4.4944444444444445</v>
      </c>
      <c r="K7" s="31">
        <f ca="1">IF(Employee_Details[[#This Row],[Tenure]]&gt;4,1.2*Employee_Details[[#This Row],[Salary]],0)</f>
        <v>100500</v>
      </c>
      <c r="L7" s="26">
        <f ca="1">IF(Employee_Details[[#This Row],[Bonus]]&gt;0,1,0)</f>
        <v>1</v>
      </c>
      <c r="O7">
        <f ca="1">COUNTA(Employee_Details[Count Bonus])</f>
        <v>183</v>
      </c>
    </row>
    <row r="8" spans="1:16">
      <c r="B8" t="s">
        <v>16</v>
      </c>
      <c r="C8" t="s">
        <v>6</v>
      </c>
      <c r="D8" s="8" t="s">
        <v>12</v>
      </c>
      <c r="E8">
        <v>21</v>
      </c>
      <c r="F8" s="25">
        <v>44256</v>
      </c>
      <c r="G8" s="30">
        <v>65920</v>
      </c>
      <c r="H8" s="9" t="s">
        <v>208</v>
      </c>
      <c r="I8" s="28" t="s">
        <v>212</v>
      </c>
      <c r="J8" s="26">
        <f ca="1">(Calculations!$C$19-Employee_Details[[#This Row],[Date Joined]])/360</f>
        <v>5.6888888888888891</v>
      </c>
      <c r="K8" s="31">
        <f ca="1">IF(Employee_Details[[#This Row],[Tenure]]&gt;4,1.2*Employee_Details[[#This Row],[Salary]],0)</f>
        <v>79104</v>
      </c>
      <c r="L8" s="26">
        <f ca="1">IF(Employee_Details[[#This Row],[Bonus]]&gt;0,1,0)</f>
        <v>1</v>
      </c>
      <c r="O8" s="63">
        <f ca="1">O6/O7</f>
        <v>0.98907103825136611</v>
      </c>
    </row>
    <row r="9" spans="1:16">
      <c r="B9" t="s">
        <v>19</v>
      </c>
      <c r="C9" t="s">
        <v>7</v>
      </c>
      <c r="D9" s="8" t="s">
        <v>18</v>
      </c>
      <c r="E9">
        <v>21</v>
      </c>
      <c r="F9" s="25">
        <v>44042</v>
      </c>
      <c r="G9" s="30">
        <v>37920</v>
      </c>
      <c r="H9" s="9" t="s">
        <v>208</v>
      </c>
      <c r="I9" s="28" t="s">
        <v>212</v>
      </c>
      <c r="J9" s="26">
        <f ca="1">(Calculations!$C$19-Employee_Details[[#This Row],[Date Joined]])/360</f>
        <v>6.2833333333333332</v>
      </c>
      <c r="K9" s="31">
        <f ca="1">IF(Employee_Details[[#This Row],[Tenure]]&gt;4,1.2*Employee_Details[[#This Row],[Salary]],0)</f>
        <v>45504</v>
      </c>
      <c r="L9" s="26">
        <f ca="1">IF(Employee_Details[[#This Row],[Bonus]]&gt;0,1,0)</f>
        <v>1</v>
      </c>
    </row>
    <row r="10" spans="1:16">
      <c r="B10" t="s">
        <v>22</v>
      </c>
      <c r="C10" t="s">
        <v>6</v>
      </c>
      <c r="D10" s="8" t="s">
        <v>18</v>
      </c>
      <c r="E10">
        <v>36</v>
      </c>
      <c r="F10" s="25">
        <v>44529</v>
      </c>
      <c r="G10" s="30">
        <v>78390</v>
      </c>
      <c r="H10" s="9" t="s">
        <v>208</v>
      </c>
      <c r="I10" s="9" t="s">
        <v>207</v>
      </c>
      <c r="J10" s="26">
        <f ca="1">(Calculations!$C$19-Employee_Details[[#This Row],[Date Joined]])/360</f>
        <v>4.9305555555555554</v>
      </c>
      <c r="K10" s="31">
        <f ca="1">IF(Employee_Details[[#This Row],[Tenure]]&gt;4,1.2*Employee_Details[[#This Row],[Salary]],0)</f>
        <v>94068</v>
      </c>
      <c r="L10" s="26">
        <f ca="1">IF(Employee_Details[[#This Row],[Bonus]]&gt;0,1,0)</f>
        <v>1</v>
      </c>
    </row>
    <row r="11" spans="1:16">
      <c r="B11" t="s">
        <v>25</v>
      </c>
      <c r="C11" t="s">
        <v>7</v>
      </c>
      <c r="D11" s="8" t="s">
        <v>21</v>
      </c>
      <c r="E11">
        <v>27</v>
      </c>
      <c r="F11" s="25">
        <v>44134</v>
      </c>
      <c r="G11" s="30">
        <v>54970</v>
      </c>
      <c r="H11" s="9" t="s">
        <v>208</v>
      </c>
      <c r="I11" s="9" t="s">
        <v>207</v>
      </c>
      <c r="J11" s="26">
        <f ca="1">(Calculations!$C$19-Employee_Details[[#This Row],[Date Joined]])/360</f>
        <v>6.0277777777777777</v>
      </c>
      <c r="K11" s="31">
        <f ca="1">IF(Employee_Details[[#This Row],[Tenure]]&gt;4,1.2*Employee_Details[[#This Row],[Salary]],0)</f>
        <v>65964</v>
      </c>
      <c r="L11" s="26">
        <f ca="1">IF(Employee_Details[[#This Row],[Bonus]]&gt;0,1,0)</f>
        <v>1</v>
      </c>
    </row>
    <row r="12" spans="1:16">
      <c r="B12" t="s">
        <v>27</v>
      </c>
      <c r="C12" t="s">
        <v>7</v>
      </c>
      <c r="D12" s="8" t="s">
        <v>24</v>
      </c>
      <c r="E12">
        <v>31</v>
      </c>
      <c r="F12" s="25">
        <v>44450</v>
      </c>
      <c r="G12" s="30">
        <v>48950</v>
      </c>
      <c r="H12" s="9" t="s">
        <v>208</v>
      </c>
      <c r="I12" s="28" t="s">
        <v>212</v>
      </c>
      <c r="J12" s="26">
        <f ca="1">(Calculations!$C$19-Employee_Details[[#This Row],[Date Joined]])/360</f>
        <v>5.15</v>
      </c>
      <c r="K12" s="31">
        <f ca="1">IF(Employee_Details[[#This Row],[Tenure]]&gt;4,1.2*Employee_Details[[#This Row],[Salary]],0)</f>
        <v>58740</v>
      </c>
      <c r="L12" s="26">
        <f ca="1">IF(Employee_Details[[#This Row],[Bonus]]&gt;0,1,0)</f>
        <v>1</v>
      </c>
    </row>
    <row r="13" spans="1:16">
      <c r="B13" t="s">
        <v>29</v>
      </c>
      <c r="C13" t="s">
        <v>7</v>
      </c>
      <c r="D13" s="8" t="s">
        <v>18</v>
      </c>
      <c r="E13">
        <v>46</v>
      </c>
      <c r="F13" s="25">
        <v>44758</v>
      </c>
      <c r="G13" s="30">
        <v>70610</v>
      </c>
      <c r="H13" s="9" t="s">
        <v>208</v>
      </c>
      <c r="I13" s="9" t="s">
        <v>207</v>
      </c>
      <c r="J13" s="26">
        <f ca="1">(Calculations!$C$19-Employee_Details[[#This Row],[Date Joined]])/360</f>
        <v>4.2944444444444443</v>
      </c>
      <c r="K13" s="31">
        <f ca="1">IF(Employee_Details[[#This Row],[Tenure]]&gt;4,1.2*Employee_Details[[#This Row],[Salary]],0)</f>
        <v>84732</v>
      </c>
      <c r="L13" s="26">
        <f ca="1">IF(Employee_Details[[#This Row],[Bonus]]&gt;0,1,0)</f>
        <v>1</v>
      </c>
    </row>
    <row r="14" spans="1:16">
      <c r="B14" t="s">
        <v>31</v>
      </c>
      <c r="C14" t="s">
        <v>7</v>
      </c>
      <c r="D14" s="8" t="s">
        <v>24</v>
      </c>
      <c r="E14">
        <v>24</v>
      </c>
      <c r="F14" s="25">
        <v>44625</v>
      </c>
      <c r="G14" s="30">
        <v>100420</v>
      </c>
      <c r="H14" s="9" t="s">
        <v>208</v>
      </c>
      <c r="I14" s="28" t="s">
        <v>212</v>
      </c>
      <c r="J14" s="26">
        <f ca="1">(Calculations!$C$19-Employee_Details[[#This Row],[Date Joined]])/360</f>
        <v>4.6638888888888888</v>
      </c>
      <c r="K14" s="31">
        <f ca="1">IF(Employee_Details[[#This Row],[Tenure]]&gt;4,1.2*Employee_Details[[#This Row],[Salary]],0)</f>
        <v>120504</v>
      </c>
      <c r="L14" s="26">
        <f ca="1">IF(Employee_Details[[#This Row],[Bonus]]&gt;0,1,0)</f>
        <v>1</v>
      </c>
    </row>
    <row r="15" spans="1:16">
      <c r="B15" t="s">
        <v>33</v>
      </c>
      <c r="C15" t="s">
        <v>7</v>
      </c>
      <c r="D15" s="8" t="s">
        <v>24</v>
      </c>
      <c r="E15">
        <v>30</v>
      </c>
      <c r="F15" s="25">
        <v>44273</v>
      </c>
      <c r="G15" s="30">
        <v>69120</v>
      </c>
      <c r="H15" s="9" t="s">
        <v>208</v>
      </c>
      <c r="I15" s="9" t="s">
        <v>207</v>
      </c>
      <c r="J15" s="26">
        <f ca="1">(Calculations!$C$19-Employee_Details[[#This Row],[Date Joined]])/360</f>
        <v>5.6416666666666666</v>
      </c>
      <c r="K15" s="31">
        <f ca="1">IF(Employee_Details[[#This Row],[Tenure]]&gt;4,1.2*Employee_Details[[#This Row],[Salary]],0)</f>
        <v>82944</v>
      </c>
      <c r="L15" s="26">
        <f ca="1">IF(Employee_Details[[#This Row],[Bonus]]&gt;0,1,0)</f>
        <v>1</v>
      </c>
    </row>
    <row r="16" spans="1:16">
      <c r="B16" t="s">
        <v>32</v>
      </c>
      <c r="C16" t="s">
        <v>6</v>
      </c>
      <c r="D16" s="8" t="s">
        <v>15</v>
      </c>
      <c r="E16">
        <v>27</v>
      </c>
      <c r="F16" s="25">
        <v>44061</v>
      </c>
      <c r="G16" s="30">
        <v>119110</v>
      </c>
      <c r="H16" s="9" t="s">
        <v>208</v>
      </c>
      <c r="I16" s="28" t="s">
        <v>212</v>
      </c>
      <c r="J16" s="26">
        <f ca="1">(Calculations!$C$19-Employee_Details[[#This Row],[Date Joined]])/360</f>
        <v>6.2305555555555552</v>
      </c>
      <c r="K16" s="31">
        <f ca="1">IF(Employee_Details[[#This Row],[Tenure]]&gt;4,1.2*Employee_Details[[#This Row],[Salary]],0)</f>
        <v>142932</v>
      </c>
      <c r="L16" s="26">
        <f ca="1">IF(Employee_Details[[#This Row],[Bonus]]&gt;0,1,0)</f>
        <v>1</v>
      </c>
    </row>
    <row r="17" spans="2:12">
      <c r="B17" t="s">
        <v>35</v>
      </c>
      <c r="C17" t="s">
        <v>6</v>
      </c>
      <c r="D17" s="8" t="s">
        <v>21</v>
      </c>
      <c r="E17">
        <v>28</v>
      </c>
      <c r="F17" s="25">
        <v>44296</v>
      </c>
      <c r="G17" s="30">
        <v>53240</v>
      </c>
      <c r="H17" s="9" t="s">
        <v>208</v>
      </c>
      <c r="I17" s="28" t="s">
        <v>212</v>
      </c>
      <c r="J17" s="26">
        <f ca="1">(Calculations!$C$19-Employee_Details[[#This Row],[Date Joined]])/360</f>
        <v>5.5777777777777775</v>
      </c>
      <c r="K17" s="31">
        <f ca="1">IF(Employee_Details[[#This Row],[Tenure]]&gt;4,1.2*Employee_Details[[#This Row],[Salary]],0)</f>
        <v>63888</v>
      </c>
      <c r="L17" s="26">
        <f ca="1">IF(Employee_Details[[#This Row],[Bonus]]&gt;0,1,0)</f>
        <v>1</v>
      </c>
    </row>
    <row r="18" spans="2:12">
      <c r="B18" t="s">
        <v>36</v>
      </c>
      <c r="C18" t="s">
        <v>7</v>
      </c>
      <c r="D18" s="8" t="s">
        <v>18</v>
      </c>
      <c r="E18">
        <v>35</v>
      </c>
      <c r="F18" s="25">
        <v>44727</v>
      </c>
      <c r="G18" s="30">
        <v>40400</v>
      </c>
      <c r="H18" s="9" t="s">
        <v>208</v>
      </c>
      <c r="I18" s="9" t="s">
        <v>207</v>
      </c>
      <c r="J18" s="26">
        <f ca="1">(Calculations!$C$19-Employee_Details[[#This Row],[Date Joined]])/360</f>
        <v>4.3805555555555555</v>
      </c>
      <c r="K18" s="31">
        <f ca="1">IF(Employee_Details[[#This Row],[Tenure]]&gt;4,1.2*Employee_Details[[#This Row],[Salary]],0)</f>
        <v>48480</v>
      </c>
      <c r="L18" s="26">
        <f ca="1">IF(Employee_Details[[#This Row],[Bonus]]&gt;0,1,0)</f>
        <v>1</v>
      </c>
    </row>
    <row r="19" spans="2:12">
      <c r="B19" t="s">
        <v>37</v>
      </c>
      <c r="C19" t="s">
        <v>7</v>
      </c>
      <c r="D19" s="8" t="s">
        <v>12</v>
      </c>
      <c r="E19">
        <v>28</v>
      </c>
      <c r="F19" s="25">
        <v>43980</v>
      </c>
      <c r="G19" s="30">
        <v>48170</v>
      </c>
      <c r="H19" s="9" t="s">
        <v>206</v>
      </c>
      <c r="I19" s="28" t="s">
        <v>212</v>
      </c>
      <c r="J19" s="26">
        <f ca="1">(Calculations!$C$19-Employee_Details[[#This Row],[Date Joined]])/360</f>
        <v>6.4555555555555557</v>
      </c>
      <c r="K19" s="31">
        <f ca="1">IF(Employee_Details[[#This Row],[Tenure]]&gt;4,1.2*Employee_Details[[#This Row],[Salary]],0)</f>
        <v>57804</v>
      </c>
      <c r="L19" s="26">
        <f ca="1">IF(Employee_Details[[#This Row],[Bonus]]&gt;0,1,0)</f>
        <v>1</v>
      </c>
    </row>
    <row r="20" spans="2:12">
      <c r="B20" t="s">
        <v>38</v>
      </c>
      <c r="C20" t="s">
        <v>7</v>
      </c>
      <c r="D20" s="8" t="s">
        <v>12</v>
      </c>
      <c r="E20">
        <v>33</v>
      </c>
      <c r="F20" s="25">
        <v>44181</v>
      </c>
      <c r="G20" s="30">
        <v>59430</v>
      </c>
      <c r="H20" s="9" t="s">
        <v>208</v>
      </c>
      <c r="I20" s="28" t="s">
        <v>212</v>
      </c>
      <c r="J20" s="26">
        <f ca="1">(Calculations!$C$19-Employee_Details[[#This Row],[Date Joined]])/360</f>
        <v>5.8972222222222221</v>
      </c>
      <c r="K20" s="31">
        <f ca="1">IF(Employee_Details[[#This Row],[Tenure]]&gt;4,1.2*Employee_Details[[#This Row],[Salary]],0)</f>
        <v>71316</v>
      </c>
      <c r="L20" s="26">
        <f ca="1">IF(Employee_Details[[#This Row],[Bonus]]&gt;0,1,0)</f>
        <v>1</v>
      </c>
    </row>
    <row r="21" spans="2:12">
      <c r="B21" t="s">
        <v>39</v>
      </c>
      <c r="C21" t="s">
        <v>6</v>
      </c>
      <c r="D21" s="8" t="s">
        <v>24</v>
      </c>
      <c r="E21">
        <v>33</v>
      </c>
      <c r="F21" s="25">
        <v>44313</v>
      </c>
      <c r="G21" s="30">
        <v>75480</v>
      </c>
      <c r="H21" s="9" t="s">
        <v>211</v>
      </c>
      <c r="I21" s="28" t="s">
        <v>212</v>
      </c>
      <c r="J21" s="26">
        <f ca="1">(Calculations!$C$19-Employee_Details[[#This Row],[Date Joined]])/360</f>
        <v>5.5305555555555559</v>
      </c>
      <c r="K21" s="31">
        <f ca="1">IF(Employee_Details[[#This Row],[Tenure]]&gt;4,1.2*Employee_Details[[#This Row],[Salary]],0)</f>
        <v>90576</v>
      </c>
      <c r="L21" s="26">
        <f ca="1">IF(Employee_Details[[#This Row],[Bonus]]&gt;0,1,0)</f>
        <v>1</v>
      </c>
    </row>
    <row r="22" spans="2:12">
      <c r="B22" t="s">
        <v>40</v>
      </c>
      <c r="C22" t="s">
        <v>7</v>
      </c>
      <c r="D22" s="8" t="s">
        <v>18</v>
      </c>
      <c r="E22">
        <v>34</v>
      </c>
      <c r="F22" s="25">
        <v>44642</v>
      </c>
      <c r="G22" s="30">
        <v>112650</v>
      </c>
      <c r="H22" s="9" t="s">
        <v>208</v>
      </c>
      <c r="I22" s="28" t="s">
        <v>212</v>
      </c>
      <c r="J22" s="26">
        <f ca="1">(Calculations!$C$19-Employee_Details[[#This Row],[Date Joined]])/360</f>
        <v>4.6166666666666663</v>
      </c>
      <c r="K22" s="31">
        <f ca="1">IF(Employee_Details[[#This Row],[Tenure]]&gt;4,1.2*Employee_Details[[#This Row],[Salary]],0)</f>
        <v>135180</v>
      </c>
      <c r="L22" s="26">
        <f ca="1">IF(Employee_Details[[#This Row],[Bonus]]&gt;0,1,0)</f>
        <v>1</v>
      </c>
    </row>
    <row r="23" spans="2:12">
      <c r="B23" t="s">
        <v>41</v>
      </c>
      <c r="C23" t="s">
        <v>6</v>
      </c>
      <c r="D23" s="8" t="s">
        <v>18</v>
      </c>
      <c r="E23">
        <v>42</v>
      </c>
      <c r="F23" s="25">
        <v>44779</v>
      </c>
      <c r="G23" s="30">
        <v>75000</v>
      </c>
      <c r="H23" s="9" t="s">
        <v>210</v>
      </c>
      <c r="I23" s="9" t="s">
        <v>207</v>
      </c>
      <c r="J23" s="26">
        <f ca="1">(Calculations!$C$19-Employee_Details[[#This Row],[Date Joined]])/360</f>
        <v>4.2361111111111107</v>
      </c>
      <c r="K23" s="31">
        <f ca="1">IF(Employee_Details[[#This Row],[Tenure]]&gt;4,1.2*Employee_Details[[#This Row],[Salary]],0)</f>
        <v>90000</v>
      </c>
      <c r="L23" s="26">
        <f ca="1">IF(Employee_Details[[#This Row],[Bonus]]&gt;0,1,0)</f>
        <v>1</v>
      </c>
    </row>
    <row r="24" spans="2:12">
      <c r="B24" t="s">
        <v>42</v>
      </c>
      <c r="C24" t="s">
        <v>7</v>
      </c>
      <c r="D24" s="8" t="s">
        <v>18</v>
      </c>
      <c r="E24">
        <v>40</v>
      </c>
      <c r="F24" s="25">
        <v>44204</v>
      </c>
      <c r="G24" s="30">
        <v>99750</v>
      </c>
      <c r="H24" s="9" t="s">
        <v>208</v>
      </c>
      <c r="I24" s="28" t="s">
        <v>212</v>
      </c>
      <c r="J24" s="26">
        <f ca="1">(Calculations!$C$19-Employee_Details[[#This Row],[Date Joined]])/360</f>
        <v>5.833333333333333</v>
      </c>
      <c r="K24" s="31">
        <f ca="1">IF(Employee_Details[[#This Row],[Tenure]]&gt;4,1.2*Employee_Details[[#This Row],[Salary]],0)</f>
        <v>119700</v>
      </c>
      <c r="L24" s="26">
        <f ca="1">IF(Employee_Details[[#This Row],[Bonus]]&gt;0,1,0)</f>
        <v>1</v>
      </c>
    </row>
    <row r="25" spans="2:12">
      <c r="B25" t="s">
        <v>43</v>
      </c>
      <c r="C25" t="s">
        <v>7</v>
      </c>
      <c r="D25" s="8" t="s">
        <v>12</v>
      </c>
      <c r="E25">
        <v>36</v>
      </c>
      <c r="F25" s="25">
        <v>44333</v>
      </c>
      <c r="G25" s="30">
        <v>71380</v>
      </c>
      <c r="H25" s="9" t="s">
        <v>208</v>
      </c>
      <c r="I25" s="9" t="s">
        <v>207</v>
      </c>
      <c r="J25" s="26">
        <f ca="1">(Calculations!$C$19-Employee_Details[[#This Row],[Date Joined]])/360</f>
        <v>5.4749999999999996</v>
      </c>
      <c r="K25" s="31">
        <f ca="1">IF(Employee_Details[[#This Row],[Tenure]]&gt;4,1.2*Employee_Details[[#This Row],[Salary]],0)</f>
        <v>85656</v>
      </c>
      <c r="L25" s="26">
        <f ca="1">IF(Employee_Details[[#This Row],[Bonus]]&gt;0,1,0)</f>
        <v>1</v>
      </c>
    </row>
    <row r="26" spans="2:12">
      <c r="B26" t="s">
        <v>11</v>
      </c>
      <c r="C26" t="s">
        <v>8</v>
      </c>
      <c r="D26" s="8" t="s">
        <v>12</v>
      </c>
      <c r="E26">
        <v>37</v>
      </c>
      <c r="F26" s="25">
        <v>44146</v>
      </c>
      <c r="G26" s="30">
        <v>115440</v>
      </c>
      <c r="H26" s="9" t="s">
        <v>209</v>
      </c>
      <c r="I26" s="9" t="s">
        <v>207</v>
      </c>
      <c r="J26" s="26">
        <f ca="1">(Calculations!$C$19-Employee_Details[[#This Row],[Date Joined]])/360</f>
        <v>5.9944444444444445</v>
      </c>
      <c r="K26" s="31">
        <f ca="1">IF(Employee_Details[[#This Row],[Tenure]]&gt;4,1.2*Employee_Details[[#This Row],[Salary]],0)</f>
        <v>138528</v>
      </c>
      <c r="L26" s="26">
        <f ca="1">IF(Employee_Details[[#This Row],[Bonus]]&gt;0,1,0)</f>
        <v>1</v>
      </c>
    </row>
    <row r="27" spans="2:12">
      <c r="B27" t="s">
        <v>44</v>
      </c>
      <c r="C27" t="s">
        <v>6</v>
      </c>
      <c r="D27" s="8" t="s">
        <v>18</v>
      </c>
      <c r="E27">
        <v>28</v>
      </c>
      <c r="F27" s="25">
        <v>44630</v>
      </c>
      <c r="G27" s="30">
        <v>99970</v>
      </c>
      <c r="H27" s="9" t="s">
        <v>208</v>
      </c>
      <c r="I27" s="9" t="s">
        <v>207</v>
      </c>
      <c r="J27" s="26">
        <f ca="1">(Calculations!$C$19-Employee_Details[[#This Row],[Date Joined]])/360</f>
        <v>4.6500000000000004</v>
      </c>
      <c r="K27" s="31">
        <f ca="1">IF(Employee_Details[[#This Row],[Tenure]]&gt;4,1.2*Employee_Details[[#This Row],[Salary]],0)</f>
        <v>119964</v>
      </c>
      <c r="L27" s="26">
        <f ca="1">IF(Employee_Details[[#This Row],[Bonus]]&gt;0,1,0)</f>
        <v>1</v>
      </c>
    </row>
    <row r="28" spans="2:12">
      <c r="B28" t="s">
        <v>45</v>
      </c>
      <c r="C28" t="s">
        <v>7</v>
      </c>
      <c r="D28" s="8" t="s">
        <v>24</v>
      </c>
      <c r="E28">
        <v>29</v>
      </c>
      <c r="F28" s="25">
        <v>44180</v>
      </c>
      <c r="G28" s="30">
        <v>112110</v>
      </c>
      <c r="H28" s="9" t="s">
        <v>209</v>
      </c>
      <c r="I28" s="9" t="s">
        <v>207</v>
      </c>
      <c r="J28" s="26">
        <f ca="1">(Calculations!$C$19-Employee_Details[[#This Row],[Date Joined]])/360</f>
        <v>5.9</v>
      </c>
      <c r="K28" s="31">
        <f ca="1">IF(Employee_Details[[#This Row],[Tenure]]&gt;4,1.2*Employee_Details[[#This Row],[Salary]],0)</f>
        <v>134532</v>
      </c>
      <c r="L28" s="26">
        <f ca="1">IF(Employee_Details[[#This Row],[Bonus]]&gt;0,1,0)</f>
        <v>1</v>
      </c>
    </row>
    <row r="29" spans="2:12">
      <c r="B29" t="s">
        <v>46</v>
      </c>
      <c r="C29" t="s">
        <v>6</v>
      </c>
      <c r="D29" s="8" t="s">
        <v>12</v>
      </c>
      <c r="E29">
        <v>28</v>
      </c>
      <c r="F29" s="25">
        <v>44185</v>
      </c>
      <c r="G29" s="30">
        <v>75970</v>
      </c>
      <c r="H29" s="9" t="s">
        <v>208</v>
      </c>
      <c r="I29" s="9" t="s">
        <v>207</v>
      </c>
      <c r="J29" s="26">
        <f ca="1">(Calculations!$C$19-Employee_Details[[#This Row],[Date Joined]])/360</f>
        <v>5.8861111111111111</v>
      </c>
      <c r="K29" s="31">
        <f ca="1">IF(Employee_Details[[#This Row],[Tenure]]&gt;4,1.2*Employee_Details[[#This Row],[Salary]],0)</f>
        <v>91164</v>
      </c>
      <c r="L29" s="26">
        <f ca="1">IF(Employee_Details[[#This Row],[Bonus]]&gt;0,1,0)</f>
        <v>1</v>
      </c>
    </row>
    <row r="30" spans="2:12">
      <c r="B30" t="s">
        <v>47</v>
      </c>
      <c r="C30" t="s">
        <v>6</v>
      </c>
      <c r="D30" s="8" t="s">
        <v>24</v>
      </c>
      <c r="E30">
        <v>25</v>
      </c>
      <c r="F30" s="25">
        <v>44633</v>
      </c>
      <c r="G30" s="30">
        <v>80700</v>
      </c>
      <c r="H30" s="9" t="s">
        <v>206</v>
      </c>
      <c r="I30" s="28" t="s">
        <v>212</v>
      </c>
      <c r="J30" s="26">
        <f ca="1">(Calculations!$C$19-Employee_Details[[#This Row],[Date Joined]])/360</f>
        <v>4.6416666666666666</v>
      </c>
      <c r="K30" s="31">
        <f ca="1">IF(Employee_Details[[#This Row],[Tenure]]&gt;4,1.2*Employee_Details[[#This Row],[Salary]],0)</f>
        <v>96840</v>
      </c>
      <c r="L30" s="26">
        <f ca="1">IF(Employee_Details[[#This Row],[Bonus]]&gt;0,1,0)</f>
        <v>1</v>
      </c>
    </row>
    <row r="31" spans="2:12">
      <c r="B31" t="s">
        <v>48</v>
      </c>
      <c r="C31" t="s">
        <v>7</v>
      </c>
      <c r="D31" s="8" t="s">
        <v>21</v>
      </c>
      <c r="E31">
        <v>43</v>
      </c>
      <c r="F31" s="25">
        <v>44620</v>
      </c>
      <c r="G31" s="30">
        <v>36040</v>
      </c>
      <c r="H31" s="9" t="s">
        <v>208</v>
      </c>
      <c r="I31" s="9" t="s">
        <v>207</v>
      </c>
      <c r="J31" s="26">
        <f ca="1">(Calculations!$C$19-Employee_Details[[#This Row],[Date Joined]])/360</f>
        <v>4.677777777777778</v>
      </c>
      <c r="K31" s="31">
        <f ca="1">IF(Employee_Details[[#This Row],[Tenure]]&gt;4,1.2*Employee_Details[[#This Row],[Salary]],0)</f>
        <v>43248</v>
      </c>
      <c r="L31" s="26">
        <f ca="1">IF(Employee_Details[[#This Row],[Bonus]]&gt;0,1,0)</f>
        <v>1</v>
      </c>
    </row>
    <row r="32" spans="2:12">
      <c r="B32" t="s">
        <v>49</v>
      </c>
      <c r="C32" t="s">
        <v>6</v>
      </c>
      <c r="D32" s="8" t="s">
        <v>24</v>
      </c>
      <c r="E32">
        <v>31</v>
      </c>
      <c r="F32" s="25">
        <v>44663</v>
      </c>
      <c r="G32" s="30">
        <v>58100</v>
      </c>
      <c r="H32" s="9" t="s">
        <v>208</v>
      </c>
      <c r="I32" s="9" t="s">
        <v>207</v>
      </c>
      <c r="J32" s="26">
        <f ca="1">(Calculations!$C$19-Employee_Details[[#This Row],[Date Joined]])/360</f>
        <v>4.5583333333333336</v>
      </c>
      <c r="K32" s="31">
        <f ca="1">IF(Employee_Details[[#This Row],[Tenure]]&gt;4,1.2*Employee_Details[[#This Row],[Salary]],0)</f>
        <v>69720</v>
      </c>
      <c r="L32" s="26">
        <f ca="1">IF(Employee_Details[[#This Row],[Bonus]]&gt;0,1,0)</f>
        <v>1</v>
      </c>
    </row>
    <row r="33" spans="2:12">
      <c r="B33" t="s">
        <v>50</v>
      </c>
      <c r="C33" t="s">
        <v>6</v>
      </c>
      <c r="D33" s="8" t="s">
        <v>24</v>
      </c>
      <c r="E33">
        <v>33</v>
      </c>
      <c r="F33" s="25">
        <v>44374</v>
      </c>
      <c r="G33" s="30">
        <v>75480</v>
      </c>
      <c r="H33" s="9" t="s">
        <v>211</v>
      </c>
      <c r="I33" s="9" t="s">
        <v>207</v>
      </c>
      <c r="J33" s="26">
        <f ca="1">(Calculations!$C$19-Employee_Details[[#This Row],[Date Joined]])/360</f>
        <v>5.3611111111111107</v>
      </c>
      <c r="K33" s="31">
        <f ca="1">IF(Employee_Details[[#This Row],[Tenure]]&gt;4,1.2*Employee_Details[[#This Row],[Salary]],0)</f>
        <v>90576</v>
      </c>
      <c r="L33" s="26">
        <f ca="1">IF(Employee_Details[[#This Row],[Bonus]]&gt;0,1,0)</f>
        <v>1</v>
      </c>
    </row>
    <row r="34" spans="2:12">
      <c r="B34" t="s">
        <v>51</v>
      </c>
      <c r="C34" t="s">
        <v>6</v>
      </c>
      <c r="D34" s="8" t="s">
        <v>24</v>
      </c>
      <c r="E34">
        <v>40</v>
      </c>
      <c r="F34" s="25">
        <v>44381</v>
      </c>
      <c r="G34" s="30">
        <v>104410</v>
      </c>
      <c r="H34" s="9" t="s">
        <v>208</v>
      </c>
      <c r="I34" s="9" t="s">
        <v>207</v>
      </c>
      <c r="J34" s="26">
        <f ca="1">(Calculations!$C$19-Employee_Details[[#This Row],[Date Joined]])/360</f>
        <v>5.3416666666666668</v>
      </c>
      <c r="K34" s="31">
        <f ca="1">IF(Employee_Details[[#This Row],[Tenure]]&gt;4,1.2*Employee_Details[[#This Row],[Salary]],0)</f>
        <v>125292</v>
      </c>
      <c r="L34" s="26">
        <f ca="1">IF(Employee_Details[[#This Row],[Bonus]]&gt;0,1,0)</f>
        <v>1</v>
      </c>
    </row>
    <row r="35" spans="2:12">
      <c r="B35" t="s">
        <v>52</v>
      </c>
      <c r="C35" t="s">
        <v>7</v>
      </c>
      <c r="D35" s="8" t="s">
        <v>12</v>
      </c>
      <c r="E35">
        <v>42</v>
      </c>
      <c r="F35" s="25">
        <v>44670</v>
      </c>
      <c r="G35" s="30">
        <v>70270</v>
      </c>
      <c r="H35" s="9" t="s">
        <v>209</v>
      </c>
      <c r="I35" s="28" t="s">
        <v>212</v>
      </c>
      <c r="J35" s="26">
        <f ca="1">(Calculations!$C$19-Employee_Details[[#This Row],[Date Joined]])/360</f>
        <v>4.5388888888888888</v>
      </c>
      <c r="K35" s="31">
        <f ca="1">IF(Employee_Details[[#This Row],[Tenure]]&gt;4,1.2*Employee_Details[[#This Row],[Salary]],0)</f>
        <v>84324</v>
      </c>
      <c r="L35" s="26">
        <f ca="1">IF(Employee_Details[[#This Row],[Bonus]]&gt;0,1,0)</f>
        <v>1</v>
      </c>
    </row>
    <row r="36" spans="2:12">
      <c r="B36" t="s">
        <v>53</v>
      </c>
      <c r="C36" t="s">
        <v>6</v>
      </c>
      <c r="D36" s="8" t="s">
        <v>18</v>
      </c>
      <c r="E36">
        <v>28</v>
      </c>
      <c r="F36" s="25">
        <v>44649</v>
      </c>
      <c r="G36" s="30">
        <v>104120</v>
      </c>
      <c r="H36" s="9" t="s">
        <v>208</v>
      </c>
      <c r="I36" s="9" t="s">
        <v>207</v>
      </c>
      <c r="J36" s="26">
        <f ca="1">(Calculations!$C$19-Employee_Details[[#This Row],[Date Joined]])/360</f>
        <v>4.5972222222222223</v>
      </c>
      <c r="K36" s="31">
        <f ca="1">IF(Employee_Details[[#This Row],[Tenure]]&gt;4,1.2*Employee_Details[[#This Row],[Salary]],0)</f>
        <v>124944</v>
      </c>
      <c r="L36" s="26">
        <f ca="1">IF(Employee_Details[[#This Row],[Bonus]]&gt;0,1,0)</f>
        <v>1</v>
      </c>
    </row>
    <row r="37" spans="2:12">
      <c r="B37" t="s">
        <v>54</v>
      </c>
      <c r="C37" t="s">
        <v>7</v>
      </c>
      <c r="D37" s="8" t="s">
        <v>24</v>
      </c>
      <c r="E37">
        <v>37</v>
      </c>
      <c r="F37" s="25">
        <v>44338</v>
      </c>
      <c r="G37" s="30">
        <v>88050</v>
      </c>
      <c r="H37" s="9" t="s">
        <v>209</v>
      </c>
      <c r="I37" s="9" t="s">
        <v>207</v>
      </c>
      <c r="J37" s="26">
        <f ca="1">(Calculations!$C$19-Employee_Details[[#This Row],[Date Joined]])/360</f>
        <v>5.4611111111111112</v>
      </c>
      <c r="K37" s="31">
        <f ca="1">IF(Employee_Details[[#This Row],[Tenure]]&gt;4,1.2*Employee_Details[[#This Row],[Salary]],0)</f>
        <v>105660</v>
      </c>
      <c r="L37" s="26">
        <f ca="1">IF(Employee_Details[[#This Row],[Bonus]]&gt;0,1,0)</f>
        <v>1</v>
      </c>
    </row>
    <row r="38" spans="2:12">
      <c r="B38" t="s">
        <v>55</v>
      </c>
      <c r="C38" t="s">
        <v>7</v>
      </c>
      <c r="D38" s="8" t="s">
        <v>18</v>
      </c>
      <c r="E38">
        <v>26</v>
      </c>
      <c r="F38" s="25">
        <v>44350</v>
      </c>
      <c r="G38" s="30">
        <v>53540</v>
      </c>
      <c r="H38" s="9" t="s">
        <v>208</v>
      </c>
      <c r="I38" s="28" t="s">
        <v>212</v>
      </c>
      <c r="J38" s="26">
        <f ca="1">(Calculations!$C$19-Employee_Details[[#This Row],[Date Joined]])/360</f>
        <v>5.427777777777778</v>
      </c>
      <c r="K38" s="31">
        <f ca="1">IF(Employee_Details[[#This Row],[Tenure]]&gt;4,1.2*Employee_Details[[#This Row],[Salary]],0)</f>
        <v>64248</v>
      </c>
      <c r="L38" s="26">
        <f ca="1">IF(Employee_Details[[#This Row],[Bonus]]&gt;0,1,0)</f>
        <v>1</v>
      </c>
    </row>
    <row r="39" spans="2:12">
      <c r="B39" t="s">
        <v>56</v>
      </c>
      <c r="C39" t="s">
        <v>7</v>
      </c>
      <c r="D39" s="8" t="s">
        <v>24</v>
      </c>
      <c r="E39">
        <v>24</v>
      </c>
      <c r="F39" s="25">
        <v>44686</v>
      </c>
      <c r="G39" s="30">
        <v>100420</v>
      </c>
      <c r="H39" s="9" t="s">
        <v>208</v>
      </c>
      <c r="I39" s="9" t="s">
        <v>207</v>
      </c>
      <c r="J39" s="26">
        <f ca="1">(Calculations!$C$19-Employee_Details[[#This Row],[Date Joined]])/360</f>
        <v>4.4944444444444445</v>
      </c>
      <c r="K39" s="31">
        <f ca="1">IF(Employee_Details[[#This Row],[Tenure]]&gt;4,1.2*Employee_Details[[#This Row],[Salary]],0)</f>
        <v>120504</v>
      </c>
      <c r="L39" s="26">
        <f ca="1">IF(Employee_Details[[#This Row],[Bonus]]&gt;0,1,0)</f>
        <v>1</v>
      </c>
    </row>
    <row r="40" spans="2:12">
      <c r="B40" t="s">
        <v>57</v>
      </c>
      <c r="C40" t="s">
        <v>7</v>
      </c>
      <c r="D40" s="8" t="s">
        <v>12</v>
      </c>
      <c r="E40">
        <v>30</v>
      </c>
      <c r="F40" s="25">
        <v>44606</v>
      </c>
      <c r="G40" s="30">
        <v>96800</v>
      </c>
      <c r="H40" s="9" t="s">
        <v>208</v>
      </c>
      <c r="I40" s="9" t="s">
        <v>207</v>
      </c>
      <c r="J40" s="26">
        <f ca="1">(Calculations!$C$19-Employee_Details[[#This Row],[Date Joined]])/360</f>
        <v>4.7166666666666668</v>
      </c>
      <c r="K40" s="31">
        <f ca="1">IF(Employee_Details[[#This Row],[Tenure]]&gt;4,1.2*Employee_Details[[#This Row],[Salary]],0)</f>
        <v>116160</v>
      </c>
      <c r="L40" s="26">
        <f ca="1">IF(Employee_Details[[#This Row],[Bonus]]&gt;0,1,0)</f>
        <v>1</v>
      </c>
    </row>
    <row r="41" spans="2:12">
      <c r="B41" t="s">
        <v>58</v>
      </c>
      <c r="C41" t="s">
        <v>6</v>
      </c>
      <c r="D41" s="8" t="s">
        <v>18</v>
      </c>
      <c r="E41">
        <v>32</v>
      </c>
      <c r="F41" s="25">
        <v>44611</v>
      </c>
      <c r="G41" s="30">
        <v>41570</v>
      </c>
      <c r="H41" s="9" t="s">
        <v>208</v>
      </c>
      <c r="I41" s="9" t="s">
        <v>207</v>
      </c>
      <c r="J41" s="26">
        <f ca="1">(Calculations!$C$19-Employee_Details[[#This Row],[Date Joined]])/360</f>
        <v>4.7027777777777775</v>
      </c>
      <c r="K41" s="31">
        <f ca="1">IF(Employee_Details[[#This Row],[Tenure]]&gt;4,1.2*Employee_Details[[#This Row],[Salary]],0)</f>
        <v>49884</v>
      </c>
      <c r="L41" s="26">
        <f ca="1">IF(Employee_Details[[#This Row],[Bonus]]&gt;0,1,0)</f>
        <v>1</v>
      </c>
    </row>
    <row r="42" spans="2:12">
      <c r="B42" t="s">
        <v>59</v>
      </c>
      <c r="C42" t="s">
        <v>8</v>
      </c>
      <c r="D42" s="8" t="s">
        <v>12</v>
      </c>
      <c r="E42">
        <v>30</v>
      </c>
      <c r="F42" s="25">
        <v>44597</v>
      </c>
      <c r="G42" s="30">
        <v>64000</v>
      </c>
      <c r="H42" s="9" t="s">
        <v>208</v>
      </c>
      <c r="I42" s="9" t="s">
        <v>207</v>
      </c>
      <c r="J42" s="26">
        <f ca="1">(Calculations!$C$19-Employee_Details[[#This Row],[Date Joined]])/360</f>
        <v>4.7416666666666663</v>
      </c>
      <c r="K42" s="31">
        <f ca="1">IF(Employee_Details[[#This Row],[Tenure]]&gt;4,1.2*Employee_Details[[#This Row],[Salary]],0)</f>
        <v>76800</v>
      </c>
      <c r="L42" s="26">
        <f ca="1">IF(Employee_Details[[#This Row],[Bonus]]&gt;0,1,0)</f>
        <v>1</v>
      </c>
    </row>
    <row r="43" spans="2:12">
      <c r="B43" t="s">
        <v>60</v>
      </c>
      <c r="C43" t="s">
        <v>7</v>
      </c>
      <c r="D43" s="8" t="s">
        <v>18</v>
      </c>
      <c r="E43">
        <v>25</v>
      </c>
      <c r="F43" s="25">
        <v>44665</v>
      </c>
      <c r="G43" s="30">
        <v>109190</v>
      </c>
      <c r="H43" s="9" t="s">
        <v>206</v>
      </c>
      <c r="I43" s="28" t="s">
        <v>212</v>
      </c>
      <c r="J43" s="26">
        <f ca="1">(Calculations!$C$19-Employee_Details[[#This Row],[Date Joined]])/360</f>
        <v>4.552777777777778</v>
      </c>
      <c r="K43" s="31">
        <f ca="1">IF(Employee_Details[[#This Row],[Tenure]]&gt;4,1.2*Employee_Details[[#This Row],[Salary]],0)</f>
        <v>131028</v>
      </c>
      <c r="L43" s="26">
        <f ca="1">IF(Employee_Details[[#This Row],[Bonus]]&gt;0,1,0)</f>
        <v>1</v>
      </c>
    </row>
    <row r="44" spans="2:12">
      <c r="B44" t="s">
        <v>61</v>
      </c>
      <c r="C44" t="s">
        <v>6</v>
      </c>
      <c r="D44" s="8" t="s">
        <v>21</v>
      </c>
      <c r="E44">
        <v>34</v>
      </c>
      <c r="F44" s="25">
        <v>44660</v>
      </c>
      <c r="G44" s="30">
        <v>49630</v>
      </c>
      <c r="H44" s="9" t="s">
        <v>209</v>
      </c>
      <c r="I44" s="28" t="s">
        <v>212</v>
      </c>
      <c r="J44" s="26">
        <f ca="1">(Calculations!$C$19-Employee_Details[[#This Row],[Date Joined]])/360</f>
        <v>4.5666666666666664</v>
      </c>
      <c r="K44" s="31">
        <f ca="1">IF(Employee_Details[[#This Row],[Tenure]]&gt;4,1.2*Employee_Details[[#This Row],[Salary]],0)</f>
        <v>59556</v>
      </c>
      <c r="L44" s="26">
        <f ca="1">IF(Employee_Details[[#This Row],[Bonus]]&gt;0,1,0)</f>
        <v>1</v>
      </c>
    </row>
    <row r="45" spans="2:12">
      <c r="B45" t="s">
        <v>62</v>
      </c>
      <c r="C45" t="s">
        <v>7</v>
      </c>
      <c r="D45" s="8" t="s">
        <v>24</v>
      </c>
      <c r="E45">
        <v>20</v>
      </c>
      <c r="F45" s="25">
        <v>44122</v>
      </c>
      <c r="G45" s="30">
        <v>112650</v>
      </c>
      <c r="H45" s="9" t="s">
        <v>208</v>
      </c>
      <c r="I45" s="28" t="s">
        <v>212</v>
      </c>
      <c r="J45" s="26">
        <f ca="1">(Calculations!$C$19-Employee_Details[[#This Row],[Date Joined]])/360</f>
        <v>6.0611111111111109</v>
      </c>
      <c r="K45" s="31">
        <f ca="1">IF(Employee_Details[[#This Row],[Tenure]]&gt;4,1.2*Employee_Details[[#This Row],[Salary]],0)</f>
        <v>135180</v>
      </c>
      <c r="L45" s="26">
        <f ca="1">IF(Employee_Details[[#This Row],[Bonus]]&gt;0,1,0)</f>
        <v>1</v>
      </c>
    </row>
    <row r="46" spans="2:12">
      <c r="B46" t="s">
        <v>63</v>
      </c>
      <c r="C46" t="s">
        <v>6</v>
      </c>
      <c r="D46" s="8" t="s">
        <v>12</v>
      </c>
      <c r="E46">
        <v>34</v>
      </c>
      <c r="F46" s="25">
        <v>44383</v>
      </c>
      <c r="G46" s="30">
        <v>92450</v>
      </c>
      <c r="H46" s="9" t="s">
        <v>208</v>
      </c>
      <c r="I46" s="28" t="s">
        <v>212</v>
      </c>
      <c r="J46" s="26">
        <f ca="1">(Calculations!$C$19-Employee_Details[[#This Row],[Date Joined]])/360</f>
        <v>5.3361111111111112</v>
      </c>
      <c r="K46" s="31">
        <f ca="1">IF(Employee_Details[[#This Row],[Tenure]]&gt;4,1.2*Employee_Details[[#This Row],[Salary]],0)</f>
        <v>110940</v>
      </c>
      <c r="L46" s="26">
        <f ca="1">IF(Employee_Details[[#This Row],[Bonus]]&gt;0,1,0)</f>
        <v>1</v>
      </c>
    </row>
    <row r="47" spans="2:12">
      <c r="B47" t="s">
        <v>64</v>
      </c>
      <c r="C47" t="s">
        <v>7</v>
      </c>
      <c r="D47" s="8" t="s">
        <v>18</v>
      </c>
      <c r="E47">
        <v>26</v>
      </c>
      <c r="F47" s="25">
        <v>44225</v>
      </c>
      <c r="G47" s="30">
        <v>47360</v>
      </c>
      <c r="H47" s="9" t="s">
        <v>208</v>
      </c>
      <c r="I47" s="9" t="s">
        <v>207</v>
      </c>
      <c r="J47" s="26">
        <f ca="1">(Calculations!$C$19-Employee_Details[[#This Row],[Date Joined]])/360</f>
        <v>5.7750000000000004</v>
      </c>
      <c r="K47" s="31">
        <f ca="1">IF(Employee_Details[[#This Row],[Tenure]]&gt;4,1.2*Employee_Details[[#This Row],[Salary]],0)</f>
        <v>56832</v>
      </c>
      <c r="L47" s="26">
        <f ca="1">IF(Employee_Details[[#This Row],[Bonus]]&gt;0,1,0)</f>
        <v>1</v>
      </c>
    </row>
    <row r="48" spans="2:12">
      <c r="B48" t="s">
        <v>65</v>
      </c>
      <c r="C48" t="s">
        <v>8</v>
      </c>
      <c r="D48" s="8" t="s">
        <v>24</v>
      </c>
      <c r="E48">
        <v>26</v>
      </c>
      <c r="F48" s="25">
        <v>44271</v>
      </c>
      <c r="G48" s="30">
        <v>90700</v>
      </c>
      <c r="H48" s="9" t="s">
        <v>206</v>
      </c>
      <c r="I48" s="9" t="s">
        <v>207</v>
      </c>
      <c r="J48" s="26">
        <f ca="1">(Calculations!$C$19-Employee_Details[[#This Row],[Date Joined]])/360</f>
        <v>5.6472222222222221</v>
      </c>
      <c r="K48" s="31">
        <f ca="1">IF(Employee_Details[[#This Row],[Tenure]]&gt;4,1.2*Employee_Details[[#This Row],[Salary]],0)</f>
        <v>108840</v>
      </c>
      <c r="L48" s="26">
        <f ca="1">IF(Employee_Details[[#This Row],[Bonus]]&gt;0,1,0)</f>
        <v>1</v>
      </c>
    </row>
    <row r="49" spans="2:12">
      <c r="B49" t="s">
        <v>66</v>
      </c>
      <c r="C49" t="s">
        <v>6</v>
      </c>
      <c r="D49" s="8" t="s">
        <v>21</v>
      </c>
      <c r="E49">
        <v>20</v>
      </c>
      <c r="F49" s="25">
        <v>44476</v>
      </c>
      <c r="G49" s="30">
        <v>68900</v>
      </c>
      <c r="H49" s="9" t="s">
        <v>209</v>
      </c>
      <c r="I49" s="28" t="s">
        <v>212</v>
      </c>
      <c r="J49" s="26">
        <f ca="1">(Calculations!$C$19-Employee_Details[[#This Row],[Date Joined]])/360</f>
        <v>5.0777777777777775</v>
      </c>
      <c r="K49" s="31">
        <f ca="1">IF(Employee_Details[[#This Row],[Tenure]]&gt;4,1.2*Employee_Details[[#This Row],[Salary]],0)</f>
        <v>82680</v>
      </c>
      <c r="L49" s="26">
        <f ca="1">IF(Employee_Details[[#This Row],[Bonus]]&gt;0,1,0)</f>
        <v>1</v>
      </c>
    </row>
    <row r="50" spans="2:12">
      <c r="B50" t="s">
        <v>67</v>
      </c>
      <c r="C50" t="s">
        <v>6</v>
      </c>
      <c r="D50" s="8" t="s">
        <v>18</v>
      </c>
      <c r="E50">
        <v>36</v>
      </c>
      <c r="F50" s="25">
        <v>44023</v>
      </c>
      <c r="G50" s="30">
        <v>114890</v>
      </c>
      <c r="H50" s="9" t="s">
        <v>208</v>
      </c>
      <c r="I50" s="28" t="s">
        <v>212</v>
      </c>
      <c r="J50" s="26">
        <f ca="1">(Calculations!$C$19-Employee_Details[[#This Row],[Date Joined]])/360</f>
        <v>6.3361111111111112</v>
      </c>
      <c r="K50" s="31">
        <f ca="1">IF(Employee_Details[[#This Row],[Tenure]]&gt;4,1.2*Employee_Details[[#This Row],[Salary]],0)</f>
        <v>137868</v>
      </c>
      <c r="L50" s="26">
        <f ca="1">IF(Employee_Details[[#This Row],[Bonus]]&gt;0,1,0)</f>
        <v>1</v>
      </c>
    </row>
    <row r="51" spans="2:12">
      <c r="B51" t="s">
        <v>68</v>
      </c>
      <c r="C51" t="s">
        <v>6</v>
      </c>
      <c r="D51" s="8" t="s">
        <v>24</v>
      </c>
      <c r="E51">
        <v>31</v>
      </c>
      <c r="F51" s="25">
        <v>44145</v>
      </c>
      <c r="G51" s="30">
        <v>41980</v>
      </c>
      <c r="H51" s="9" t="s">
        <v>208</v>
      </c>
      <c r="I51" s="9" t="s">
        <v>207</v>
      </c>
      <c r="J51" s="26">
        <f ca="1">(Calculations!$C$19-Employee_Details[[#This Row],[Date Joined]])/360</f>
        <v>5.9972222222222218</v>
      </c>
      <c r="K51" s="31">
        <f ca="1">IF(Employee_Details[[#This Row],[Tenure]]&gt;4,1.2*Employee_Details[[#This Row],[Salary]],0)</f>
        <v>50376</v>
      </c>
      <c r="L51" s="26">
        <f ca="1">IF(Employee_Details[[#This Row],[Bonus]]&gt;0,1,0)</f>
        <v>1</v>
      </c>
    </row>
    <row r="52" spans="2:12">
      <c r="B52" t="s">
        <v>69</v>
      </c>
      <c r="C52" t="s">
        <v>7</v>
      </c>
      <c r="D52" s="8" t="s">
        <v>21</v>
      </c>
      <c r="E52">
        <v>28</v>
      </c>
      <c r="F52" s="25">
        <v>44820</v>
      </c>
      <c r="G52" s="30">
        <v>43510</v>
      </c>
      <c r="H52" s="9" t="s">
        <v>211</v>
      </c>
      <c r="I52" s="9" t="s">
        <v>207</v>
      </c>
      <c r="J52" s="26">
        <f ca="1">(Calculations!$C$19-Employee_Details[[#This Row],[Date Joined]])/360</f>
        <v>4.1222222222222218</v>
      </c>
      <c r="K52" s="31">
        <f ca="1">IF(Employee_Details[[#This Row],[Tenure]]&gt;4,1.2*Employee_Details[[#This Row],[Salary]],0)</f>
        <v>52212</v>
      </c>
      <c r="L52" s="26">
        <f ca="1">IF(Employee_Details[[#This Row],[Bonus]]&gt;0,1,0)</f>
        <v>1</v>
      </c>
    </row>
    <row r="53" spans="2:12">
      <c r="B53" t="s">
        <v>70</v>
      </c>
      <c r="C53" t="s">
        <v>7</v>
      </c>
      <c r="D53" s="8" t="s">
        <v>18</v>
      </c>
      <c r="E53">
        <v>31</v>
      </c>
      <c r="F53" s="25">
        <v>44724</v>
      </c>
      <c r="G53" s="30">
        <v>103550</v>
      </c>
      <c r="H53" s="9" t="s">
        <v>208</v>
      </c>
      <c r="I53" s="9" t="s">
        <v>207</v>
      </c>
      <c r="J53" s="26">
        <f ca="1">(Calculations!$C$19-Employee_Details[[#This Row],[Date Joined]])/360</f>
        <v>4.3888888888888893</v>
      </c>
      <c r="K53" s="31">
        <f ca="1">IF(Employee_Details[[#This Row],[Tenure]]&gt;4,1.2*Employee_Details[[#This Row],[Salary]],0)</f>
        <v>124260</v>
      </c>
      <c r="L53" s="26">
        <f ca="1">IF(Employee_Details[[#This Row],[Bonus]]&gt;0,1,0)</f>
        <v>1</v>
      </c>
    </row>
    <row r="54" spans="2:12">
      <c r="B54" t="s">
        <v>71</v>
      </c>
      <c r="C54" t="s">
        <v>7</v>
      </c>
      <c r="D54" s="8" t="s">
        <v>18</v>
      </c>
      <c r="E54">
        <v>30</v>
      </c>
      <c r="F54" s="25">
        <v>44701</v>
      </c>
      <c r="G54" s="30">
        <v>67950</v>
      </c>
      <c r="H54" s="9" t="s">
        <v>208</v>
      </c>
      <c r="I54" s="9" t="s">
        <v>207</v>
      </c>
      <c r="J54" s="26">
        <f ca="1">(Calculations!$C$19-Employee_Details[[#This Row],[Date Joined]])/360</f>
        <v>4.4527777777777775</v>
      </c>
      <c r="K54" s="31">
        <f ca="1">IF(Employee_Details[[#This Row],[Tenure]]&gt;4,1.2*Employee_Details[[#This Row],[Salary]],0)</f>
        <v>81540</v>
      </c>
      <c r="L54" s="26">
        <f ca="1">IF(Employee_Details[[#This Row],[Bonus]]&gt;0,1,0)</f>
        <v>1</v>
      </c>
    </row>
    <row r="55" spans="2:12">
      <c r="B55" t="s">
        <v>72</v>
      </c>
      <c r="C55" t="s">
        <v>6</v>
      </c>
      <c r="D55" s="8" t="s">
        <v>24</v>
      </c>
      <c r="E55">
        <v>33</v>
      </c>
      <c r="F55" s="25">
        <v>44312</v>
      </c>
      <c r="G55" s="30">
        <v>75280</v>
      </c>
      <c r="H55" s="9" t="s">
        <v>208</v>
      </c>
      <c r="I55" s="9" t="s">
        <v>207</v>
      </c>
      <c r="J55" s="26">
        <f ca="1">(Calculations!$C$19-Employee_Details[[#This Row],[Date Joined]])/360</f>
        <v>5.5333333333333332</v>
      </c>
      <c r="K55" s="31">
        <f ca="1">IF(Employee_Details[[#This Row],[Tenure]]&gt;4,1.2*Employee_Details[[#This Row],[Salary]],0)</f>
        <v>90336</v>
      </c>
      <c r="L55" s="26">
        <f ca="1">IF(Employee_Details[[#This Row],[Bonus]]&gt;0,1,0)</f>
        <v>1</v>
      </c>
    </row>
    <row r="56" spans="2:12">
      <c r="B56" t="s">
        <v>73</v>
      </c>
      <c r="C56" t="s">
        <v>7</v>
      </c>
      <c r="D56" s="8" t="s">
        <v>12</v>
      </c>
      <c r="E56">
        <v>27</v>
      </c>
      <c r="F56" s="25">
        <v>44236</v>
      </c>
      <c r="G56" s="30">
        <v>91650</v>
      </c>
      <c r="H56" s="9" t="s">
        <v>206</v>
      </c>
      <c r="I56" s="9" t="s">
        <v>207</v>
      </c>
      <c r="J56" s="26">
        <f ca="1">(Calculations!$C$19-Employee_Details[[#This Row],[Date Joined]])/360</f>
        <v>5.7444444444444445</v>
      </c>
      <c r="K56" s="31">
        <f ca="1">IF(Employee_Details[[#This Row],[Tenure]]&gt;4,1.2*Employee_Details[[#This Row],[Salary]],0)</f>
        <v>109980</v>
      </c>
      <c r="L56" s="26">
        <f ca="1">IF(Employee_Details[[#This Row],[Bonus]]&gt;0,1,0)</f>
        <v>1</v>
      </c>
    </row>
    <row r="57" spans="2:12">
      <c r="B57" t="s">
        <v>74</v>
      </c>
      <c r="C57" t="s">
        <v>7</v>
      </c>
      <c r="D57" s="8" t="s">
        <v>18</v>
      </c>
      <c r="E57">
        <v>33</v>
      </c>
      <c r="F57" s="25">
        <v>44701</v>
      </c>
      <c r="G57" s="30">
        <v>48530</v>
      </c>
      <c r="H57" s="9" t="s">
        <v>206</v>
      </c>
      <c r="I57" s="9" t="s">
        <v>207</v>
      </c>
      <c r="J57" s="26">
        <f ca="1">(Calculations!$C$19-Employee_Details[[#This Row],[Date Joined]])/360</f>
        <v>4.4527777777777775</v>
      </c>
      <c r="K57" s="31">
        <f ca="1">IF(Employee_Details[[#This Row],[Tenure]]&gt;4,1.2*Employee_Details[[#This Row],[Salary]],0)</f>
        <v>58236</v>
      </c>
      <c r="L57" s="26">
        <f ca="1">IF(Employee_Details[[#This Row],[Bonus]]&gt;0,1,0)</f>
        <v>1</v>
      </c>
    </row>
    <row r="58" spans="2:12">
      <c r="B58" t="s">
        <v>75</v>
      </c>
      <c r="C58" t="s">
        <v>7</v>
      </c>
      <c r="D58" s="8" t="s">
        <v>12</v>
      </c>
      <c r="E58">
        <v>27</v>
      </c>
      <c r="F58" s="25">
        <v>44567</v>
      </c>
      <c r="G58" s="30">
        <v>48980</v>
      </c>
      <c r="H58" s="9" t="s">
        <v>208</v>
      </c>
      <c r="I58" s="9" t="s">
        <v>207</v>
      </c>
      <c r="J58" s="26">
        <f ca="1">(Calculations!$C$19-Employee_Details[[#This Row],[Date Joined]])/360</f>
        <v>4.8250000000000002</v>
      </c>
      <c r="K58" s="31">
        <f ca="1">IF(Employee_Details[[#This Row],[Tenure]]&gt;4,1.2*Employee_Details[[#This Row],[Salary]],0)</f>
        <v>58776</v>
      </c>
      <c r="L58" s="26">
        <f ca="1">IF(Employee_Details[[#This Row],[Bonus]]&gt;0,1,0)</f>
        <v>1</v>
      </c>
    </row>
    <row r="59" spans="2:12">
      <c r="B59" t="s">
        <v>34</v>
      </c>
      <c r="C59" t="s">
        <v>6</v>
      </c>
      <c r="D59" s="8" t="s">
        <v>15</v>
      </c>
      <c r="E59">
        <v>27</v>
      </c>
      <c r="F59" s="25">
        <v>44122</v>
      </c>
      <c r="G59" s="30">
        <v>119110</v>
      </c>
      <c r="H59" s="9" t="s">
        <v>208</v>
      </c>
      <c r="I59" s="9" t="s">
        <v>207</v>
      </c>
      <c r="J59" s="26">
        <f ca="1">(Calculations!$C$19-Employee_Details[[#This Row],[Date Joined]])/360</f>
        <v>6.0611111111111109</v>
      </c>
      <c r="K59" s="31">
        <f ca="1">IF(Employee_Details[[#This Row],[Tenure]]&gt;4,1.2*Employee_Details[[#This Row],[Salary]],0)</f>
        <v>142932</v>
      </c>
      <c r="L59" s="26">
        <f ca="1">IF(Employee_Details[[#This Row],[Bonus]]&gt;0,1,0)</f>
        <v>1</v>
      </c>
    </row>
    <row r="60" spans="2:12">
      <c r="B60" t="s">
        <v>76</v>
      </c>
      <c r="C60" t="s">
        <v>6</v>
      </c>
      <c r="D60" s="8" t="s">
        <v>15</v>
      </c>
      <c r="E60">
        <v>32</v>
      </c>
      <c r="F60" s="25">
        <v>44400</v>
      </c>
      <c r="G60" s="30">
        <v>45510</v>
      </c>
      <c r="H60" s="9" t="s">
        <v>208</v>
      </c>
      <c r="I60" s="9" t="s">
        <v>207</v>
      </c>
      <c r="J60" s="26">
        <f ca="1">(Calculations!$C$19-Employee_Details[[#This Row],[Date Joined]])/360</f>
        <v>5.2888888888888888</v>
      </c>
      <c r="K60" s="31">
        <f ca="1">IF(Employee_Details[[#This Row],[Tenure]]&gt;4,1.2*Employee_Details[[#This Row],[Salary]],0)</f>
        <v>54612</v>
      </c>
      <c r="L60" s="26">
        <f ca="1">IF(Employee_Details[[#This Row],[Bonus]]&gt;0,1,0)</f>
        <v>1</v>
      </c>
    </row>
    <row r="61" spans="2:12">
      <c r="B61" t="s">
        <v>77</v>
      </c>
      <c r="C61" t="s">
        <v>6</v>
      </c>
      <c r="D61" s="8" t="s">
        <v>24</v>
      </c>
      <c r="E61">
        <v>24</v>
      </c>
      <c r="F61" s="25">
        <v>44087</v>
      </c>
      <c r="G61" s="30">
        <v>62780</v>
      </c>
      <c r="H61" s="9" t="s">
        <v>208</v>
      </c>
      <c r="I61" s="28" t="s">
        <v>212</v>
      </c>
      <c r="J61" s="26">
        <f ca="1">(Calculations!$C$19-Employee_Details[[#This Row],[Date Joined]])/360</f>
        <v>6.1583333333333332</v>
      </c>
      <c r="K61" s="31">
        <f ca="1">IF(Employee_Details[[#This Row],[Tenure]]&gt;4,1.2*Employee_Details[[#This Row],[Salary]],0)</f>
        <v>75336</v>
      </c>
      <c r="L61" s="26">
        <f ca="1">IF(Employee_Details[[#This Row],[Bonus]]&gt;0,1,0)</f>
        <v>1</v>
      </c>
    </row>
    <row r="62" spans="2:12">
      <c r="B62" t="s">
        <v>78</v>
      </c>
      <c r="C62" t="s">
        <v>7</v>
      </c>
      <c r="D62" s="8" t="s">
        <v>24</v>
      </c>
      <c r="E62">
        <v>37</v>
      </c>
      <c r="F62" s="25">
        <v>44277</v>
      </c>
      <c r="G62" s="30">
        <v>88050</v>
      </c>
      <c r="H62" s="9" t="s">
        <v>209</v>
      </c>
      <c r="I62" s="28" t="s">
        <v>212</v>
      </c>
      <c r="J62" s="26">
        <f ca="1">(Calculations!$C$19-Employee_Details[[#This Row],[Date Joined]])/360</f>
        <v>5.6305555555555555</v>
      </c>
      <c r="K62" s="31">
        <f ca="1">IF(Employee_Details[[#This Row],[Tenure]]&gt;4,1.2*Employee_Details[[#This Row],[Salary]],0)</f>
        <v>105660</v>
      </c>
      <c r="L62" s="26">
        <f ca="1">IF(Employee_Details[[#This Row],[Bonus]]&gt;0,1,0)</f>
        <v>1</v>
      </c>
    </row>
    <row r="63" spans="2:12">
      <c r="B63" t="s">
        <v>79</v>
      </c>
      <c r="C63" t="s">
        <v>7</v>
      </c>
      <c r="D63" s="8" t="s">
        <v>21</v>
      </c>
      <c r="E63">
        <v>32</v>
      </c>
      <c r="F63" s="25">
        <v>44403</v>
      </c>
      <c r="G63" s="30">
        <v>53540</v>
      </c>
      <c r="H63" s="9" t="s">
        <v>208</v>
      </c>
      <c r="I63" s="28" t="s">
        <v>212</v>
      </c>
      <c r="J63" s="26">
        <f ca="1">(Calculations!$C$19-Employee_Details[[#This Row],[Date Joined]])/360</f>
        <v>5.2805555555555559</v>
      </c>
      <c r="K63" s="31">
        <f ca="1">IF(Employee_Details[[#This Row],[Tenure]]&gt;4,1.2*Employee_Details[[#This Row],[Salary]],0)</f>
        <v>64248</v>
      </c>
      <c r="L63" s="26">
        <f ca="1">IF(Employee_Details[[#This Row],[Bonus]]&gt;0,1,0)</f>
        <v>1</v>
      </c>
    </row>
    <row r="64" spans="2:12">
      <c r="B64" t="s">
        <v>80</v>
      </c>
      <c r="C64" t="s">
        <v>7</v>
      </c>
      <c r="D64" s="8" t="s">
        <v>21</v>
      </c>
      <c r="E64">
        <v>33</v>
      </c>
      <c r="F64" s="25">
        <v>44385</v>
      </c>
      <c r="G64" s="30">
        <v>74550</v>
      </c>
      <c r="H64" s="9" t="s">
        <v>208</v>
      </c>
      <c r="I64" s="9" t="s">
        <v>207</v>
      </c>
      <c r="J64" s="26">
        <f ca="1">(Calculations!$C$19-Employee_Details[[#This Row],[Date Joined]])/360</f>
        <v>5.3305555555555557</v>
      </c>
      <c r="K64" s="31">
        <f ca="1">IF(Employee_Details[[#This Row],[Tenure]]&gt;4,1.2*Employee_Details[[#This Row],[Salary]],0)</f>
        <v>89460</v>
      </c>
      <c r="L64" s="26">
        <f ca="1">IF(Employee_Details[[#This Row],[Bonus]]&gt;0,1,0)</f>
        <v>1</v>
      </c>
    </row>
    <row r="65" spans="2:12">
      <c r="B65" t="s">
        <v>81</v>
      </c>
      <c r="C65" t="s">
        <v>6</v>
      </c>
      <c r="D65" s="8" t="s">
        <v>24</v>
      </c>
      <c r="E65">
        <v>40</v>
      </c>
      <c r="F65" s="25">
        <v>44276</v>
      </c>
      <c r="G65" s="30">
        <v>87620</v>
      </c>
      <c r="H65" s="9" t="s">
        <v>208</v>
      </c>
      <c r="I65" s="28" t="s">
        <v>212</v>
      </c>
      <c r="J65" s="26">
        <f ca="1">(Calculations!$C$19-Employee_Details[[#This Row],[Date Joined]])/360</f>
        <v>5.6333333333333337</v>
      </c>
      <c r="K65" s="31">
        <f ca="1">IF(Employee_Details[[#This Row],[Tenure]]&gt;4,1.2*Employee_Details[[#This Row],[Salary]],0)</f>
        <v>105144</v>
      </c>
      <c r="L65" s="26">
        <f ca="1">IF(Employee_Details[[#This Row],[Bonus]]&gt;0,1,0)</f>
        <v>1</v>
      </c>
    </row>
    <row r="66" spans="2:12">
      <c r="B66" t="s">
        <v>82</v>
      </c>
      <c r="C66" t="s">
        <v>6</v>
      </c>
      <c r="D66" s="8" t="s">
        <v>21</v>
      </c>
      <c r="E66">
        <v>36</v>
      </c>
      <c r="F66" s="25">
        <v>44494</v>
      </c>
      <c r="G66" s="30">
        <v>78540</v>
      </c>
      <c r="H66" s="9" t="s">
        <v>208</v>
      </c>
      <c r="I66" s="9" t="s">
        <v>207</v>
      </c>
      <c r="J66" s="26">
        <f ca="1">(Calculations!$C$19-Employee_Details[[#This Row],[Date Joined]])/360</f>
        <v>5.0277777777777777</v>
      </c>
      <c r="K66" s="31">
        <f ca="1">IF(Employee_Details[[#This Row],[Tenure]]&gt;4,1.2*Employee_Details[[#This Row],[Salary]],0)</f>
        <v>94248</v>
      </c>
      <c r="L66" s="26">
        <f ca="1">IF(Employee_Details[[#This Row],[Bonus]]&gt;0,1,0)</f>
        <v>1</v>
      </c>
    </row>
    <row r="67" spans="2:12">
      <c r="B67" t="s">
        <v>83</v>
      </c>
      <c r="C67" t="s">
        <v>6</v>
      </c>
      <c r="D67" s="8" t="s">
        <v>24</v>
      </c>
      <c r="E67">
        <v>21</v>
      </c>
      <c r="F67" s="25">
        <v>44678</v>
      </c>
      <c r="G67" s="30">
        <v>33920</v>
      </c>
      <c r="H67" s="9" t="s">
        <v>208</v>
      </c>
      <c r="I67" s="9" t="s">
        <v>207</v>
      </c>
      <c r="J67" s="26">
        <f ca="1">(Calculations!$C$19-Employee_Details[[#This Row],[Date Joined]])/360</f>
        <v>4.5166666666666666</v>
      </c>
      <c r="K67" s="31">
        <f ca="1">IF(Employee_Details[[#This Row],[Tenure]]&gt;4,1.2*Employee_Details[[#This Row],[Salary]],0)</f>
        <v>40704</v>
      </c>
      <c r="L67" s="26">
        <f ca="1">IF(Employee_Details[[#This Row],[Bonus]]&gt;0,1,0)</f>
        <v>1</v>
      </c>
    </row>
    <row r="68" spans="2:12">
      <c r="B68" t="s">
        <v>84</v>
      </c>
      <c r="C68" t="s">
        <v>7</v>
      </c>
      <c r="D68" s="8" t="s">
        <v>12</v>
      </c>
      <c r="E68">
        <v>24</v>
      </c>
      <c r="F68" s="25">
        <v>44375</v>
      </c>
      <c r="G68" s="30">
        <v>52610</v>
      </c>
      <c r="H68" s="9" t="s">
        <v>209</v>
      </c>
      <c r="I68" s="28" t="s">
        <v>212</v>
      </c>
      <c r="J68" s="26">
        <f ca="1">(Calculations!$C$19-Employee_Details[[#This Row],[Date Joined]])/360</f>
        <v>5.3583333333333334</v>
      </c>
      <c r="K68" s="31">
        <f ca="1">IF(Employee_Details[[#This Row],[Tenure]]&gt;4,1.2*Employee_Details[[#This Row],[Salary]],0)</f>
        <v>63132</v>
      </c>
      <c r="L68" s="26">
        <f ca="1">IF(Employee_Details[[#This Row],[Bonus]]&gt;0,1,0)</f>
        <v>1</v>
      </c>
    </row>
    <row r="69" spans="2:12">
      <c r="B69" t="s">
        <v>85</v>
      </c>
      <c r="C69" t="s">
        <v>7</v>
      </c>
      <c r="D69" s="8" t="s">
        <v>24</v>
      </c>
      <c r="E69">
        <v>31</v>
      </c>
      <c r="F69" s="25">
        <v>44511</v>
      </c>
      <c r="G69" s="30">
        <v>48950</v>
      </c>
      <c r="H69" s="9" t="s">
        <v>208</v>
      </c>
      <c r="I69" s="9" t="s">
        <v>207</v>
      </c>
      <c r="J69" s="26">
        <f ca="1">(Calculations!$C$19-Employee_Details[[#This Row],[Date Joined]])/360</f>
        <v>4.9805555555555552</v>
      </c>
      <c r="K69" s="31">
        <f ca="1">IF(Employee_Details[[#This Row],[Tenure]]&gt;4,1.2*Employee_Details[[#This Row],[Salary]],0)</f>
        <v>58740</v>
      </c>
      <c r="L69" s="26">
        <f ca="1">IF(Employee_Details[[#This Row],[Bonus]]&gt;0,1,0)</f>
        <v>1</v>
      </c>
    </row>
    <row r="70" spans="2:12">
      <c r="B70" t="s">
        <v>86</v>
      </c>
      <c r="C70" t="s">
        <v>6</v>
      </c>
      <c r="D70" s="8" t="s">
        <v>18</v>
      </c>
      <c r="E70">
        <v>30</v>
      </c>
      <c r="F70" s="25">
        <v>44861</v>
      </c>
      <c r="G70" s="30">
        <v>112570</v>
      </c>
      <c r="H70" s="9" t="s">
        <v>208</v>
      </c>
      <c r="I70" s="9" t="s">
        <v>207</v>
      </c>
      <c r="J70" s="26">
        <f ca="1">(Calculations!$C$19-Employee_Details[[#This Row],[Date Joined]])/360</f>
        <v>4.0083333333333337</v>
      </c>
      <c r="K70" s="31">
        <f ca="1">IF(Employee_Details[[#This Row],[Tenure]]&gt;4,1.2*Employee_Details[[#This Row],[Salary]],0)</f>
        <v>135084</v>
      </c>
      <c r="L70" s="26">
        <f ca="1">IF(Employee_Details[[#This Row],[Bonus]]&gt;0,1,0)</f>
        <v>1</v>
      </c>
    </row>
    <row r="71" spans="2:12">
      <c r="B71" t="s">
        <v>28</v>
      </c>
      <c r="C71" t="s">
        <v>7</v>
      </c>
      <c r="D71" s="8" t="s">
        <v>24</v>
      </c>
      <c r="E71">
        <v>36</v>
      </c>
      <c r="F71" s="25">
        <v>43958</v>
      </c>
      <c r="G71" s="30">
        <v>118840</v>
      </c>
      <c r="H71" s="9" t="s">
        <v>208</v>
      </c>
      <c r="I71" s="28" t="s">
        <v>212</v>
      </c>
      <c r="J71" s="26">
        <f ca="1">(Calculations!$C$19-Employee_Details[[#This Row],[Date Joined]])/360</f>
        <v>6.5166666666666666</v>
      </c>
      <c r="K71" s="31">
        <f ca="1">IF(Employee_Details[[#This Row],[Tenure]]&gt;4,1.2*Employee_Details[[#This Row],[Salary]],0)</f>
        <v>142608</v>
      </c>
      <c r="L71" s="26">
        <f ca="1">IF(Employee_Details[[#This Row],[Bonus]]&gt;0,1,0)</f>
        <v>1</v>
      </c>
    </row>
    <row r="72" spans="2:12">
      <c r="B72" t="s">
        <v>87</v>
      </c>
      <c r="C72" t="s">
        <v>6</v>
      </c>
      <c r="D72" s="8" t="s">
        <v>24</v>
      </c>
      <c r="E72">
        <v>33</v>
      </c>
      <c r="F72" s="25">
        <v>44253</v>
      </c>
      <c r="G72" s="30">
        <v>75280</v>
      </c>
      <c r="H72" s="9" t="s">
        <v>208</v>
      </c>
      <c r="I72" s="28" t="s">
        <v>212</v>
      </c>
      <c r="J72" s="26">
        <f ca="1">(Calculations!$C$19-Employee_Details[[#This Row],[Date Joined]])/360</f>
        <v>5.697222222222222</v>
      </c>
      <c r="K72" s="31">
        <f ca="1">IF(Employee_Details[[#This Row],[Tenure]]&gt;4,1.2*Employee_Details[[#This Row],[Salary]],0)</f>
        <v>90336</v>
      </c>
      <c r="L72" s="26">
        <f ca="1">IF(Employee_Details[[#This Row],[Bonus]]&gt;0,1,0)</f>
        <v>1</v>
      </c>
    </row>
    <row r="73" spans="2:12">
      <c r="B73" t="s">
        <v>88</v>
      </c>
      <c r="C73" t="s">
        <v>6</v>
      </c>
      <c r="D73" s="8" t="s">
        <v>21</v>
      </c>
      <c r="E73">
        <v>25</v>
      </c>
      <c r="F73" s="25">
        <v>44205</v>
      </c>
      <c r="G73" s="30">
        <v>92700</v>
      </c>
      <c r="H73" s="9" t="s">
        <v>208</v>
      </c>
      <c r="I73" s="9" t="s">
        <v>207</v>
      </c>
      <c r="J73" s="26">
        <f ca="1">(Calculations!$C$19-Employee_Details[[#This Row],[Date Joined]])/360</f>
        <v>5.8305555555555557</v>
      </c>
      <c r="K73" s="31">
        <f ca="1">IF(Employee_Details[[#This Row],[Tenure]]&gt;4,1.2*Employee_Details[[#This Row],[Salary]],0)</f>
        <v>111240</v>
      </c>
      <c r="L73" s="26">
        <f ca="1">IF(Employee_Details[[#This Row],[Bonus]]&gt;0,1,0)</f>
        <v>1</v>
      </c>
    </row>
    <row r="74" spans="2:12">
      <c r="B74" t="s">
        <v>89</v>
      </c>
      <c r="C74" t="s">
        <v>6</v>
      </c>
      <c r="D74" s="8" t="s">
        <v>18</v>
      </c>
      <c r="E74">
        <v>30</v>
      </c>
      <c r="F74" s="25">
        <v>44850</v>
      </c>
      <c r="G74" s="30">
        <v>114180</v>
      </c>
      <c r="H74" s="9" t="s">
        <v>208</v>
      </c>
      <c r="I74" s="9" t="s">
        <v>207</v>
      </c>
      <c r="J74" s="26">
        <f ca="1">(Calculations!$C$19-Employee_Details[[#This Row],[Date Joined]])/360</f>
        <v>4.0388888888888888</v>
      </c>
      <c r="K74" s="31">
        <f ca="1">IF(Employee_Details[[#This Row],[Tenure]]&gt;4,1.2*Employee_Details[[#This Row],[Salary]],0)</f>
        <v>137016</v>
      </c>
      <c r="L74" s="26">
        <f ca="1">IF(Employee_Details[[#This Row],[Bonus]]&gt;0,1,0)</f>
        <v>1</v>
      </c>
    </row>
    <row r="75" spans="2:12">
      <c r="B75" t="s">
        <v>90</v>
      </c>
      <c r="C75" t="s">
        <v>7</v>
      </c>
      <c r="D75" s="8" t="s">
        <v>21</v>
      </c>
      <c r="E75">
        <v>32</v>
      </c>
      <c r="F75" s="25">
        <v>44465</v>
      </c>
      <c r="G75" s="30">
        <v>53540</v>
      </c>
      <c r="H75" s="9" t="s">
        <v>208</v>
      </c>
      <c r="I75" s="9" t="s">
        <v>207</v>
      </c>
      <c r="J75" s="26">
        <f ca="1">(Calculations!$C$19-Employee_Details[[#This Row],[Date Joined]])/360</f>
        <v>5.1083333333333334</v>
      </c>
      <c r="K75" s="31">
        <f ca="1">IF(Employee_Details[[#This Row],[Tenure]]&gt;4,1.2*Employee_Details[[#This Row],[Salary]],0)</f>
        <v>64248</v>
      </c>
      <c r="L75" s="26">
        <f ca="1">IF(Employee_Details[[#This Row],[Bonus]]&gt;0,1,0)</f>
        <v>1</v>
      </c>
    </row>
    <row r="76" spans="2:12">
      <c r="B76" t="s">
        <v>91</v>
      </c>
      <c r="C76" t="s">
        <v>7</v>
      </c>
      <c r="D76" s="8" t="s">
        <v>24</v>
      </c>
      <c r="E76">
        <v>20</v>
      </c>
      <c r="F76" s="25">
        <v>44397</v>
      </c>
      <c r="G76" s="30">
        <v>107700</v>
      </c>
      <c r="H76" s="9" t="s">
        <v>208</v>
      </c>
      <c r="I76" s="28" t="s">
        <v>212</v>
      </c>
      <c r="J76" s="26">
        <f ca="1">(Calculations!$C$19-Employee_Details[[#This Row],[Date Joined]])/360</f>
        <v>5.2972222222222225</v>
      </c>
      <c r="K76" s="31">
        <f ca="1">IF(Employee_Details[[#This Row],[Tenure]]&gt;4,1.2*Employee_Details[[#This Row],[Salary]],0)</f>
        <v>129240</v>
      </c>
      <c r="L76" s="26">
        <f ca="1">IF(Employee_Details[[#This Row],[Bonus]]&gt;0,1,0)</f>
        <v>1</v>
      </c>
    </row>
    <row r="77" spans="2:12">
      <c r="B77" t="s">
        <v>92</v>
      </c>
      <c r="C77" t="s">
        <v>6</v>
      </c>
      <c r="D77" s="8" t="s">
        <v>12</v>
      </c>
      <c r="E77">
        <v>30</v>
      </c>
      <c r="F77" s="25">
        <v>44389</v>
      </c>
      <c r="G77" s="30">
        <v>67910</v>
      </c>
      <c r="H77" s="9" t="s">
        <v>209</v>
      </c>
      <c r="I77" s="9" t="s">
        <v>207</v>
      </c>
      <c r="J77" s="26">
        <f ca="1">(Calculations!$C$19-Employee_Details[[#This Row],[Date Joined]])/360</f>
        <v>5.3194444444444446</v>
      </c>
      <c r="K77" s="31">
        <f ca="1">IF(Employee_Details[[#This Row],[Tenure]]&gt;4,1.2*Employee_Details[[#This Row],[Salary]],0)</f>
        <v>81492</v>
      </c>
      <c r="L77" s="26">
        <f ca="1">IF(Employee_Details[[#This Row],[Bonus]]&gt;0,1,0)</f>
        <v>1</v>
      </c>
    </row>
    <row r="78" spans="2:12">
      <c r="B78" t="s">
        <v>93</v>
      </c>
      <c r="C78" t="s">
        <v>6</v>
      </c>
      <c r="D78" s="8" t="s">
        <v>21</v>
      </c>
      <c r="E78">
        <v>20</v>
      </c>
      <c r="F78" s="25">
        <v>44537</v>
      </c>
      <c r="G78" s="30">
        <v>68900</v>
      </c>
      <c r="H78" s="9" t="s">
        <v>209</v>
      </c>
      <c r="I78" s="9" t="s">
        <v>207</v>
      </c>
      <c r="J78" s="26">
        <f ca="1">(Calculations!$C$19-Employee_Details[[#This Row],[Date Joined]])/360</f>
        <v>4.9083333333333332</v>
      </c>
      <c r="K78" s="31">
        <f ca="1">IF(Employee_Details[[#This Row],[Tenure]]&gt;4,1.2*Employee_Details[[#This Row],[Salary]],0)</f>
        <v>82680</v>
      </c>
      <c r="L78" s="26">
        <f ca="1">IF(Employee_Details[[#This Row],[Bonus]]&gt;0,1,0)</f>
        <v>1</v>
      </c>
    </row>
    <row r="79" spans="2:12">
      <c r="B79" t="s">
        <v>94</v>
      </c>
      <c r="C79" t="s">
        <v>7</v>
      </c>
      <c r="D79" s="8" t="s">
        <v>18</v>
      </c>
      <c r="E79">
        <v>27</v>
      </c>
      <c r="F79" s="25">
        <v>44547</v>
      </c>
      <c r="G79" s="30">
        <v>113280</v>
      </c>
      <c r="H79" s="9" t="s">
        <v>211</v>
      </c>
      <c r="I79" s="28" t="s">
        <v>212</v>
      </c>
      <c r="J79" s="26">
        <f ca="1">(Calculations!$C$19-Employee_Details[[#This Row],[Date Joined]])/360</f>
        <v>4.8805555555555555</v>
      </c>
      <c r="K79" s="31">
        <f ca="1">IF(Employee_Details[[#This Row],[Tenure]]&gt;4,1.2*Employee_Details[[#This Row],[Salary]],0)</f>
        <v>135936</v>
      </c>
      <c r="L79" s="26">
        <f ca="1">IF(Employee_Details[[#This Row],[Bonus]]&gt;0,1,0)</f>
        <v>1</v>
      </c>
    </row>
    <row r="80" spans="2:12">
      <c r="B80" t="s">
        <v>95</v>
      </c>
      <c r="C80" t="s">
        <v>6</v>
      </c>
      <c r="D80" s="8" t="s">
        <v>12</v>
      </c>
      <c r="E80">
        <v>28</v>
      </c>
      <c r="F80" s="25">
        <v>44124</v>
      </c>
      <c r="G80" s="30">
        <v>75970</v>
      </c>
      <c r="H80" s="9" t="s">
        <v>208</v>
      </c>
      <c r="I80" s="28" t="s">
        <v>212</v>
      </c>
      <c r="J80" s="26">
        <f ca="1">(Calculations!$C$19-Employee_Details[[#This Row],[Date Joined]])/360</f>
        <v>6.0555555555555554</v>
      </c>
      <c r="K80" s="31">
        <f ca="1">IF(Employee_Details[[#This Row],[Tenure]]&gt;4,1.2*Employee_Details[[#This Row],[Salary]],0)</f>
        <v>91164</v>
      </c>
      <c r="L80" s="26">
        <f ca="1">IF(Employee_Details[[#This Row],[Bonus]]&gt;0,1,0)</f>
        <v>1</v>
      </c>
    </row>
    <row r="81" spans="2:12">
      <c r="B81" t="s">
        <v>96</v>
      </c>
      <c r="C81" t="s">
        <v>6</v>
      </c>
      <c r="D81" s="8" t="s">
        <v>24</v>
      </c>
      <c r="E81">
        <v>31</v>
      </c>
      <c r="F81" s="25">
        <v>44084</v>
      </c>
      <c r="G81" s="30">
        <v>41980</v>
      </c>
      <c r="H81" s="9" t="s">
        <v>208</v>
      </c>
      <c r="I81" s="28" t="s">
        <v>212</v>
      </c>
      <c r="J81" s="26">
        <f ca="1">(Calculations!$C$19-Employee_Details[[#This Row],[Date Joined]])/360</f>
        <v>6.166666666666667</v>
      </c>
      <c r="K81" s="31">
        <f ca="1">IF(Employee_Details[[#This Row],[Tenure]]&gt;4,1.2*Employee_Details[[#This Row],[Salary]],0)</f>
        <v>50376</v>
      </c>
      <c r="L81" s="26">
        <f ca="1">IF(Employee_Details[[#This Row],[Bonus]]&gt;0,1,0)</f>
        <v>1</v>
      </c>
    </row>
    <row r="82" spans="2:12">
      <c r="B82" t="s">
        <v>97</v>
      </c>
      <c r="C82" t="s">
        <v>7</v>
      </c>
      <c r="D82" s="8" t="s">
        <v>24</v>
      </c>
      <c r="E82">
        <v>37</v>
      </c>
      <c r="F82" s="25">
        <v>44640</v>
      </c>
      <c r="G82" s="30">
        <v>69070</v>
      </c>
      <c r="H82" s="9" t="s">
        <v>208</v>
      </c>
      <c r="I82" s="28" t="s">
        <v>212</v>
      </c>
      <c r="J82" s="26">
        <f ca="1">(Calculations!$C$19-Employee_Details[[#This Row],[Date Joined]])/360</f>
        <v>4.6222222222222218</v>
      </c>
      <c r="K82" s="31">
        <f ca="1">IF(Employee_Details[[#This Row],[Tenure]]&gt;4,1.2*Employee_Details[[#This Row],[Salary]],0)</f>
        <v>82884</v>
      </c>
      <c r="L82" s="26">
        <f ca="1">IF(Employee_Details[[#This Row],[Bonus]]&gt;0,1,0)</f>
        <v>1</v>
      </c>
    </row>
    <row r="83" spans="2:12">
      <c r="B83" t="s">
        <v>98</v>
      </c>
      <c r="C83" t="s">
        <v>7</v>
      </c>
      <c r="D83" s="8" t="s">
        <v>12</v>
      </c>
      <c r="E83">
        <v>28</v>
      </c>
      <c r="F83" s="25">
        <v>44041</v>
      </c>
      <c r="G83" s="30">
        <v>48170</v>
      </c>
      <c r="H83" s="9" t="s">
        <v>206</v>
      </c>
      <c r="I83" s="9" t="s">
        <v>207</v>
      </c>
      <c r="J83" s="26">
        <f ca="1">(Calculations!$C$19-Employee_Details[[#This Row],[Date Joined]])/360</f>
        <v>6.2861111111111114</v>
      </c>
      <c r="K83" s="31">
        <f ca="1">IF(Employee_Details[[#This Row],[Tenure]]&gt;4,1.2*Employee_Details[[#This Row],[Salary]],0)</f>
        <v>57804</v>
      </c>
      <c r="L83" s="26">
        <f ca="1">IF(Employee_Details[[#This Row],[Bonus]]&gt;0,1,0)</f>
        <v>1</v>
      </c>
    </row>
    <row r="84" spans="2:12">
      <c r="B84" t="s">
        <v>99</v>
      </c>
      <c r="C84" t="s">
        <v>6</v>
      </c>
      <c r="D84" s="8" t="s">
        <v>18</v>
      </c>
      <c r="E84">
        <v>28</v>
      </c>
      <c r="F84" s="25">
        <v>44486</v>
      </c>
      <c r="G84" s="30">
        <v>104770</v>
      </c>
      <c r="H84" s="9" t="s">
        <v>208</v>
      </c>
      <c r="I84" s="9" t="s">
        <v>207</v>
      </c>
      <c r="J84" s="26">
        <f ca="1">(Calculations!$C$19-Employee_Details[[#This Row],[Date Joined]])/360</f>
        <v>5.05</v>
      </c>
      <c r="K84" s="31">
        <f ca="1">IF(Employee_Details[[#This Row],[Tenure]]&gt;4,1.2*Employee_Details[[#This Row],[Salary]],0)</f>
        <v>125724</v>
      </c>
      <c r="L84" s="26">
        <f ca="1">IF(Employee_Details[[#This Row],[Bonus]]&gt;0,1,0)</f>
        <v>1</v>
      </c>
    </row>
    <row r="85" spans="2:12">
      <c r="B85" t="s">
        <v>100</v>
      </c>
      <c r="C85" t="s">
        <v>6</v>
      </c>
      <c r="D85" s="8" t="s">
        <v>12</v>
      </c>
      <c r="E85">
        <v>34</v>
      </c>
      <c r="F85" s="25">
        <v>44612</v>
      </c>
      <c r="G85" s="30">
        <v>60130</v>
      </c>
      <c r="H85" s="9" t="s">
        <v>208</v>
      </c>
      <c r="I85" s="9" t="s">
        <v>207</v>
      </c>
      <c r="J85" s="26">
        <f ca="1">(Calculations!$C$19-Employee_Details[[#This Row],[Date Joined]])/360</f>
        <v>4.7</v>
      </c>
      <c r="K85" s="31">
        <f ca="1">IF(Employee_Details[[#This Row],[Tenure]]&gt;4,1.2*Employee_Details[[#This Row],[Salary]],0)</f>
        <v>72156</v>
      </c>
      <c r="L85" s="26">
        <f ca="1">IF(Employee_Details[[#This Row],[Bonus]]&gt;0,1,0)</f>
        <v>1</v>
      </c>
    </row>
    <row r="86" spans="2:12">
      <c r="B86" t="s">
        <v>101</v>
      </c>
      <c r="C86" t="s">
        <v>7</v>
      </c>
      <c r="D86" s="8" t="s">
        <v>24</v>
      </c>
      <c r="E86">
        <v>20</v>
      </c>
      <c r="F86" s="25">
        <v>44459</v>
      </c>
      <c r="G86" s="30">
        <v>107700</v>
      </c>
      <c r="H86" s="9" t="s">
        <v>208</v>
      </c>
      <c r="I86" s="9" t="s">
        <v>207</v>
      </c>
      <c r="J86" s="26">
        <f ca="1">(Calculations!$C$19-Employee_Details[[#This Row],[Date Joined]])/360</f>
        <v>5.125</v>
      </c>
      <c r="K86" s="31">
        <f ca="1">IF(Employee_Details[[#This Row],[Tenure]]&gt;4,1.2*Employee_Details[[#This Row],[Salary]],0)</f>
        <v>129240</v>
      </c>
      <c r="L86" s="26">
        <f ca="1">IF(Employee_Details[[#This Row],[Bonus]]&gt;0,1,0)</f>
        <v>1</v>
      </c>
    </row>
    <row r="87" spans="2:12">
      <c r="B87" t="s">
        <v>23</v>
      </c>
      <c r="C87" t="s">
        <v>6</v>
      </c>
      <c r="D87" s="8" t="s">
        <v>15</v>
      </c>
      <c r="E87">
        <v>37</v>
      </c>
      <c r="F87" s="25">
        <v>44389</v>
      </c>
      <c r="G87" s="30">
        <v>118100</v>
      </c>
      <c r="H87" s="9" t="s">
        <v>208</v>
      </c>
      <c r="I87" s="28" t="s">
        <v>212</v>
      </c>
      <c r="J87" s="26">
        <f ca="1">(Calculations!$C$19-Employee_Details[[#This Row],[Date Joined]])/360</f>
        <v>5.3194444444444446</v>
      </c>
      <c r="K87" s="31">
        <f ca="1">IF(Employee_Details[[#This Row],[Tenure]]&gt;4,1.2*Employee_Details[[#This Row],[Salary]],0)</f>
        <v>141720</v>
      </c>
      <c r="L87" s="26">
        <f ca="1">IF(Employee_Details[[#This Row],[Bonus]]&gt;0,1,0)</f>
        <v>1</v>
      </c>
    </row>
    <row r="88" spans="2:12">
      <c r="B88" t="s">
        <v>102</v>
      </c>
      <c r="C88" t="s">
        <v>7</v>
      </c>
      <c r="D88" s="8" t="s">
        <v>12</v>
      </c>
      <c r="E88">
        <v>27</v>
      </c>
      <c r="F88" s="25">
        <v>44174</v>
      </c>
      <c r="G88" s="30">
        <v>91650</v>
      </c>
      <c r="H88" s="9" t="s">
        <v>206</v>
      </c>
      <c r="I88" s="28" t="s">
        <v>212</v>
      </c>
      <c r="J88" s="26">
        <f ca="1">(Calculations!$C$19-Employee_Details[[#This Row],[Date Joined]])/360</f>
        <v>5.916666666666667</v>
      </c>
      <c r="K88" s="31">
        <f ca="1">IF(Employee_Details[[#This Row],[Tenure]]&gt;4,1.2*Employee_Details[[#This Row],[Salary]],0)</f>
        <v>109980</v>
      </c>
      <c r="L88" s="26">
        <f ca="1">IF(Employee_Details[[#This Row],[Bonus]]&gt;0,1,0)</f>
        <v>1</v>
      </c>
    </row>
    <row r="89" spans="2:12">
      <c r="B89" t="s">
        <v>103</v>
      </c>
      <c r="C89" t="s">
        <v>6</v>
      </c>
      <c r="D89" s="8" t="s">
        <v>12</v>
      </c>
      <c r="E89">
        <v>30</v>
      </c>
      <c r="F89" s="25">
        <v>44328</v>
      </c>
      <c r="G89" s="30">
        <v>67910</v>
      </c>
      <c r="H89" s="9" t="s">
        <v>209</v>
      </c>
      <c r="I89" s="28" t="s">
        <v>212</v>
      </c>
      <c r="J89" s="26">
        <f ca="1">(Calculations!$C$19-Employee_Details[[#This Row],[Date Joined]])/360</f>
        <v>5.4888888888888889</v>
      </c>
      <c r="K89" s="31">
        <f ca="1">IF(Employee_Details[[#This Row],[Tenure]]&gt;4,1.2*Employee_Details[[#This Row],[Salary]],0)</f>
        <v>81492</v>
      </c>
      <c r="L89" s="26">
        <f ca="1">IF(Employee_Details[[#This Row],[Bonus]]&gt;0,1,0)</f>
        <v>1</v>
      </c>
    </row>
    <row r="90" spans="2:12">
      <c r="B90" t="s">
        <v>104</v>
      </c>
      <c r="C90" t="s">
        <v>6</v>
      </c>
      <c r="D90" s="8" t="s">
        <v>12</v>
      </c>
      <c r="E90">
        <v>34</v>
      </c>
      <c r="F90" s="25">
        <v>44459</v>
      </c>
      <c r="G90" s="30">
        <v>85000</v>
      </c>
      <c r="H90" s="9" t="s">
        <v>208</v>
      </c>
      <c r="I90" s="9" t="s">
        <v>207</v>
      </c>
      <c r="J90" s="26">
        <f ca="1">(Calculations!$C$19-Employee_Details[[#This Row],[Date Joined]])/360</f>
        <v>5.125</v>
      </c>
      <c r="K90" s="31">
        <f ca="1">IF(Employee_Details[[#This Row],[Tenure]]&gt;4,1.2*Employee_Details[[#This Row],[Salary]],0)</f>
        <v>102000</v>
      </c>
      <c r="L90" s="26">
        <f ca="1">IF(Employee_Details[[#This Row],[Bonus]]&gt;0,1,0)</f>
        <v>1</v>
      </c>
    </row>
    <row r="91" spans="2:12">
      <c r="B91" t="s">
        <v>105</v>
      </c>
      <c r="C91" t="s">
        <v>8</v>
      </c>
      <c r="D91" s="8" t="s">
        <v>24</v>
      </c>
      <c r="E91">
        <v>27</v>
      </c>
      <c r="F91" s="25">
        <v>44212</v>
      </c>
      <c r="G91" s="30">
        <v>90700</v>
      </c>
      <c r="H91" s="9" t="s">
        <v>206</v>
      </c>
      <c r="I91" s="28" t="s">
        <v>212</v>
      </c>
      <c r="J91" s="26">
        <f ca="1">(Calculations!$C$19-Employee_Details[[#This Row],[Date Joined]])/360</f>
        <v>5.8111111111111109</v>
      </c>
      <c r="K91" s="31">
        <f ca="1">IF(Employee_Details[[#This Row],[Tenure]]&gt;4,1.2*Employee_Details[[#This Row],[Salary]],0)</f>
        <v>108840</v>
      </c>
      <c r="L91" s="26">
        <f ca="1">IF(Employee_Details[[#This Row],[Bonus]]&gt;0,1,0)</f>
        <v>1</v>
      </c>
    </row>
    <row r="92" spans="2:12">
      <c r="B92" t="s">
        <v>106</v>
      </c>
      <c r="C92" t="s">
        <v>6</v>
      </c>
      <c r="D92" s="8" t="s">
        <v>24</v>
      </c>
      <c r="E92">
        <v>32</v>
      </c>
      <c r="F92" s="25">
        <v>44354</v>
      </c>
      <c r="G92" s="30">
        <v>43840</v>
      </c>
      <c r="H92" s="9" t="s">
        <v>206</v>
      </c>
      <c r="I92" s="9" t="s">
        <v>207</v>
      </c>
      <c r="J92" s="26">
        <f ca="1">(Calculations!$C$19-Employee_Details[[#This Row],[Date Joined]])/360</f>
        <v>5.416666666666667</v>
      </c>
      <c r="K92" s="31">
        <f ca="1">IF(Employee_Details[[#This Row],[Tenure]]&gt;4,1.2*Employee_Details[[#This Row],[Salary]],0)</f>
        <v>52608</v>
      </c>
      <c r="L92" s="26">
        <f ca="1">IF(Employee_Details[[#This Row],[Bonus]]&gt;0,1,0)</f>
        <v>1</v>
      </c>
    </row>
    <row r="93" spans="2:12">
      <c r="B93" t="s">
        <v>107</v>
      </c>
      <c r="C93" t="s">
        <v>7</v>
      </c>
      <c r="D93" s="8" t="s">
        <v>21</v>
      </c>
      <c r="E93">
        <v>25</v>
      </c>
      <c r="F93" s="25">
        <v>44383</v>
      </c>
      <c r="G93" s="30">
        <v>65700</v>
      </c>
      <c r="H93" s="9" t="s">
        <v>208</v>
      </c>
      <c r="I93" s="9" t="s">
        <v>207</v>
      </c>
      <c r="J93" s="26">
        <f ca="1">(Calculations!$C$19-Employee_Details[[#This Row],[Date Joined]])/360</f>
        <v>5.3361111111111112</v>
      </c>
      <c r="K93" s="31">
        <f ca="1">IF(Employee_Details[[#This Row],[Tenure]]&gt;4,1.2*Employee_Details[[#This Row],[Salary]],0)</f>
        <v>78840</v>
      </c>
      <c r="L93" s="26">
        <f ca="1">IF(Employee_Details[[#This Row],[Bonus]]&gt;0,1,0)</f>
        <v>1</v>
      </c>
    </row>
    <row r="94" spans="2:12">
      <c r="B94" t="s">
        <v>108</v>
      </c>
      <c r="C94" t="s">
        <v>7</v>
      </c>
      <c r="D94" s="8" t="s">
        <v>12</v>
      </c>
      <c r="E94">
        <v>24</v>
      </c>
      <c r="F94" s="25">
        <v>44436</v>
      </c>
      <c r="G94" s="30">
        <v>52610</v>
      </c>
      <c r="H94" s="9" t="s">
        <v>209</v>
      </c>
      <c r="I94" s="9" t="s">
        <v>207</v>
      </c>
      <c r="J94" s="26">
        <f ca="1">(Calculations!$C$19-Employee_Details[[#This Row],[Date Joined]])/360</f>
        <v>5.1888888888888891</v>
      </c>
      <c r="K94" s="31">
        <f ca="1">IF(Employee_Details[[#This Row],[Tenure]]&gt;4,1.2*Employee_Details[[#This Row],[Salary]],0)</f>
        <v>63132</v>
      </c>
      <c r="L94" s="26">
        <f ca="1">IF(Employee_Details[[#This Row],[Bonus]]&gt;0,1,0)</f>
        <v>1</v>
      </c>
    </row>
    <row r="95" spans="2:12">
      <c r="B95" t="s">
        <v>109</v>
      </c>
      <c r="C95" t="s">
        <v>7</v>
      </c>
      <c r="D95" s="8" t="s">
        <v>18</v>
      </c>
      <c r="E95">
        <v>21</v>
      </c>
      <c r="F95" s="25">
        <v>44762</v>
      </c>
      <c r="G95" s="30">
        <v>57090</v>
      </c>
      <c r="H95" s="9" t="s">
        <v>208</v>
      </c>
      <c r="I95" s="9" t="s">
        <v>207</v>
      </c>
      <c r="J95" s="26">
        <f ca="1">(Calculations!$C$19-Employee_Details[[#This Row],[Date Joined]])/360</f>
        <v>4.2833333333333332</v>
      </c>
      <c r="K95" s="31">
        <f ca="1">IF(Employee_Details[[#This Row],[Tenure]]&gt;4,1.2*Employee_Details[[#This Row],[Salary]],0)</f>
        <v>68508</v>
      </c>
      <c r="L95" s="26">
        <f ca="1">IF(Employee_Details[[#This Row],[Bonus]]&gt;0,1,0)</f>
        <v>1</v>
      </c>
    </row>
    <row r="96" spans="2:12">
      <c r="B96" t="s">
        <v>110</v>
      </c>
      <c r="C96" t="s">
        <v>7</v>
      </c>
      <c r="D96" s="8" t="s">
        <v>18</v>
      </c>
      <c r="E96">
        <v>20</v>
      </c>
      <c r="F96" s="25">
        <v>44744</v>
      </c>
      <c r="G96" s="30">
        <v>79570</v>
      </c>
      <c r="H96" s="9" t="s">
        <v>208</v>
      </c>
      <c r="I96" s="9" t="s">
        <v>207</v>
      </c>
      <c r="J96" s="26">
        <f ca="1">(Calculations!$C$19-Employee_Details[[#This Row],[Date Joined]])/360</f>
        <v>4.333333333333333</v>
      </c>
      <c r="K96" s="31">
        <f ca="1">IF(Employee_Details[[#This Row],[Tenure]]&gt;4,1.2*Employee_Details[[#This Row],[Salary]],0)</f>
        <v>95484</v>
      </c>
      <c r="L96" s="26">
        <f ca="1">IF(Employee_Details[[#This Row],[Bonus]]&gt;0,1,0)</f>
        <v>1</v>
      </c>
    </row>
    <row r="97" spans="2:12">
      <c r="B97" t="s">
        <v>111</v>
      </c>
      <c r="C97" t="s">
        <v>6</v>
      </c>
      <c r="D97" s="8" t="s">
        <v>12</v>
      </c>
      <c r="E97">
        <v>33</v>
      </c>
      <c r="F97" s="25">
        <v>44006</v>
      </c>
      <c r="G97" s="30">
        <v>65360</v>
      </c>
      <c r="H97" s="9" t="s">
        <v>208</v>
      </c>
      <c r="I97" s="28" t="s">
        <v>212</v>
      </c>
      <c r="J97" s="26">
        <f ca="1">(Calculations!$C$19-Employee_Details[[#This Row],[Date Joined]])/360</f>
        <v>6.3833333333333337</v>
      </c>
      <c r="K97" s="31">
        <f ca="1">IF(Employee_Details[[#This Row],[Tenure]]&gt;4,1.2*Employee_Details[[#This Row],[Salary]],0)</f>
        <v>78432</v>
      </c>
      <c r="L97" s="26">
        <f ca="1">IF(Employee_Details[[#This Row],[Bonus]]&gt;0,1,0)</f>
        <v>1</v>
      </c>
    </row>
    <row r="98" spans="2:12">
      <c r="B98" t="s">
        <v>112</v>
      </c>
      <c r="C98" t="s">
        <v>7</v>
      </c>
      <c r="D98" s="8" t="s">
        <v>18</v>
      </c>
      <c r="E98">
        <v>23</v>
      </c>
      <c r="F98" s="25">
        <v>44440</v>
      </c>
      <c r="G98" s="30">
        <v>106460</v>
      </c>
      <c r="H98" s="9" t="s">
        <v>208</v>
      </c>
      <c r="I98" s="9" t="s">
        <v>207</v>
      </c>
      <c r="J98" s="26">
        <f ca="1">(Calculations!$C$19-Employee_Details[[#This Row],[Date Joined]])/360</f>
        <v>5.177777777777778</v>
      </c>
      <c r="K98" s="31">
        <f ca="1">IF(Employee_Details[[#This Row],[Tenure]]&gt;4,1.2*Employee_Details[[#This Row],[Salary]],0)</f>
        <v>127752</v>
      </c>
      <c r="L98" s="26">
        <f ca="1">IF(Employee_Details[[#This Row],[Bonus]]&gt;0,1,0)</f>
        <v>1</v>
      </c>
    </row>
    <row r="99" spans="2:12">
      <c r="B99" t="s">
        <v>113</v>
      </c>
      <c r="C99" t="s">
        <v>7</v>
      </c>
      <c r="D99" s="8" t="s">
        <v>21</v>
      </c>
      <c r="E99">
        <v>22</v>
      </c>
      <c r="F99" s="25">
        <v>44384</v>
      </c>
      <c r="G99" s="30">
        <v>112780</v>
      </c>
      <c r="H99" s="9" t="s">
        <v>206</v>
      </c>
      <c r="I99" s="28" t="s">
        <v>212</v>
      </c>
      <c r="J99" s="26">
        <f ca="1">(Calculations!$C$19-Employee_Details[[#This Row],[Date Joined]])/360</f>
        <v>5.333333333333333</v>
      </c>
      <c r="K99" s="31">
        <f ca="1">IF(Employee_Details[[#This Row],[Tenure]]&gt;4,1.2*Employee_Details[[#This Row],[Salary]],0)</f>
        <v>135336</v>
      </c>
      <c r="L99" s="26">
        <f ca="1">IF(Employee_Details[[#This Row],[Bonus]]&gt;0,1,0)</f>
        <v>1</v>
      </c>
    </row>
    <row r="100" spans="2:12">
      <c r="B100" t="s">
        <v>114</v>
      </c>
      <c r="C100" t="s">
        <v>6</v>
      </c>
      <c r="D100" s="8" t="s">
        <v>12</v>
      </c>
      <c r="E100">
        <v>34</v>
      </c>
      <c r="F100" s="25">
        <v>44594</v>
      </c>
      <c r="G100" s="30">
        <v>58940</v>
      </c>
      <c r="H100" s="9" t="s">
        <v>208</v>
      </c>
      <c r="I100" s="28" t="s">
        <v>212</v>
      </c>
      <c r="J100" s="26">
        <f ca="1">(Calculations!$C$19-Employee_Details[[#This Row],[Date Joined]])/360</f>
        <v>4.75</v>
      </c>
      <c r="K100" s="31">
        <f ca="1">IF(Employee_Details[[#This Row],[Tenure]]&gt;4,1.2*Employee_Details[[#This Row],[Salary]],0)</f>
        <v>70728</v>
      </c>
      <c r="L100" s="26">
        <f ca="1">IF(Employee_Details[[#This Row],[Bonus]]&gt;0,1,0)</f>
        <v>1</v>
      </c>
    </row>
    <row r="101" spans="2:12">
      <c r="B101" t="s">
        <v>115</v>
      </c>
      <c r="C101" t="s">
        <v>7</v>
      </c>
      <c r="D101" s="8" t="s">
        <v>12</v>
      </c>
      <c r="E101">
        <v>36</v>
      </c>
      <c r="F101" s="25">
        <v>44272</v>
      </c>
      <c r="G101" s="30">
        <v>71380</v>
      </c>
      <c r="H101" s="9" t="s">
        <v>208</v>
      </c>
      <c r="I101" s="28" t="s">
        <v>212</v>
      </c>
      <c r="J101" s="26">
        <f ca="1">(Calculations!$C$19-Employee_Details[[#This Row],[Date Joined]])/360</f>
        <v>5.6444444444444448</v>
      </c>
      <c r="K101" s="31">
        <f ca="1">IF(Employee_Details[[#This Row],[Tenure]]&gt;4,1.2*Employee_Details[[#This Row],[Salary]],0)</f>
        <v>85656</v>
      </c>
      <c r="L101" s="26">
        <f ca="1">IF(Employee_Details[[#This Row],[Bonus]]&gt;0,1,0)</f>
        <v>1</v>
      </c>
    </row>
    <row r="102" spans="2:12">
      <c r="B102" t="s">
        <v>116</v>
      </c>
      <c r="C102" t="s">
        <v>6</v>
      </c>
      <c r="D102" s="8" t="s">
        <v>24</v>
      </c>
      <c r="E102">
        <v>27</v>
      </c>
      <c r="F102" s="25">
        <v>44625</v>
      </c>
      <c r="G102" s="30">
        <v>83750</v>
      </c>
      <c r="H102" s="9" t="s">
        <v>208</v>
      </c>
      <c r="I102" s="28" t="s">
        <v>212</v>
      </c>
      <c r="J102" s="26">
        <f ca="1">(Calculations!$C$19-Employee_Details[[#This Row],[Date Joined]])/360</f>
        <v>4.6638888888888888</v>
      </c>
      <c r="K102" s="31">
        <f ca="1">IF(Employee_Details[[#This Row],[Tenure]]&gt;4,1.2*Employee_Details[[#This Row],[Salary]],0)</f>
        <v>100500</v>
      </c>
      <c r="L102" s="26">
        <f ca="1">IF(Employee_Details[[#This Row],[Bonus]]&gt;0,1,0)</f>
        <v>1</v>
      </c>
    </row>
    <row r="103" spans="2:12">
      <c r="B103" t="s">
        <v>117</v>
      </c>
      <c r="C103" t="s">
        <v>6</v>
      </c>
      <c r="D103" s="8" t="s">
        <v>12</v>
      </c>
      <c r="E103">
        <v>34</v>
      </c>
      <c r="F103" s="25">
        <v>44550</v>
      </c>
      <c r="G103" s="30">
        <v>60130</v>
      </c>
      <c r="H103" s="9" t="s">
        <v>208</v>
      </c>
      <c r="I103" s="28" t="s">
        <v>212</v>
      </c>
      <c r="J103" s="26">
        <f ca="1">(Calculations!$C$19-Employee_Details[[#This Row],[Date Joined]])/360</f>
        <v>4.8722222222222218</v>
      </c>
      <c r="K103" s="31">
        <f ca="1">IF(Employee_Details[[#This Row],[Tenure]]&gt;4,1.2*Employee_Details[[#This Row],[Salary]],0)</f>
        <v>72156</v>
      </c>
      <c r="L103" s="26">
        <f ca="1">IF(Employee_Details[[#This Row],[Bonus]]&gt;0,1,0)</f>
        <v>1</v>
      </c>
    </row>
    <row r="104" spans="2:12">
      <c r="B104" t="s">
        <v>118</v>
      </c>
      <c r="C104" t="s">
        <v>6</v>
      </c>
      <c r="D104" s="8" t="s">
        <v>12</v>
      </c>
      <c r="E104">
        <v>34</v>
      </c>
      <c r="F104" s="25">
        <v>44445</v>
      </c>
      <c r="G104" s="30">
        <v>92450</v>
      </c>
      <c r="H104" s="9" t="s">
        <v>208</v>
      </c>
      <c r="I104" s="9" t="s">
        <v>207</v>
      </c>
      <c r="J104" s="26">
        <f ca="1">(Calculations!$C$19-Employee_Details[[#This Row],[Date Joined]])/360</f>
        <v>5.1638888888888888</v>
      </c>
      <c r="K104" s="31">
        <f ca="1">IF(Employee_Details[[#This Row],[Tenure]]&gt;4,1.2*Employee_Details[[#This Row],[Salary]],0)</f>
        <v>110940</v>
      </c>
      <c r="L104" s="26">
        <f ca="1">IF(Employee_Details[[#This Row],[Bonus]]&gt;0,1,0)</f>
        <v>1</v>
      </c>
    </row>
    <row r="105" spans="2:12">
      <c r="B105" t="s">
        <v>119</v>
      </c>
      <c r="C105" t="s">
        <v>7</v>
      </c>
      <c r="D105" s="8" t="s">
        <v>18</v>
      </c>
      <c r="E105">
        <v>19</v>
      </c>
      <c r="F105" s="25">
        <v>44277</v>
      </c>
      <c r="G105" s="30">
        <v>58960</v>
      </c>
      <c r="H105" s="9" t="s">
        <v>208</v>
      </c>
      <c r="I105" s="9" t="s">
        <v>207</v>
      </c>
      <c r="J105" s="26">
        <f ca="1">(Calculations!$C$19-Employee_Details[[#This Row],[Date Joined]])/360</f>
        <v>5.6305555555555555</v>
      </c>
      <c r="K105" s="31">
        <f ca="1">IF(Employee_Details[[#This Row],[Tenure]]&gt;4,1.2*Employee_Details[[#This Row],[Salary]],0)</f>
        <v>70752</v>
      </c>
      <c r="L105" s="26">
        <f ca="1">IF(Employee_Details[[#This Row],[Bonus]]&gt;0,1,0)</f>
        <v>1</v>
      </c>
    </row>
    <row r="106" spans="2:12">
      <c r="B106" t="s">
        <v>120</v>
      </c>
      <c r="C106" t="s">
        <v>7</v>
      </c>
      <c r="D106" s="8" t="s">
        <v>21</v>
      </c>
      <c r="E106">
        <v>22</v>
      </c>
      <c r="F106" s="25">
        <v>44446</v>
      </c>
      <c r="G106" s="30">
        <v>112780</v>
      </c>
      <c r="H106" s="9" t="s">
        <v>206</v>
      </c>
      <c r="I106" s="9" t="s">
        <v>207</v>
      </c>
      <c r="J106" s="26">
        <f ca="1">(Calculations!$C$19-Employee_Details[[#This Row],[Date Joined]])/360</f>
        <v>5.1611111111111114</v>
      </c>
      <c r="K106" s="31">
        <f ca="1">IF(Employee_Details[[#This Row],[Tenure]]&gt;4,1.2*Employee_Details[[#This Row],[Salary]],0)</f>
        <v>135336</v>
      </c>
      <c r="L106" s="26">
        <f ca="1">IF(Employee_Details[[#This Row],[Bonus]]&gt;0,1,0)</f>
        <v>1</v>
      </c>
    </row>
    <row r="107" spans="2:12">
      <c r="B107" t="s">
        <v>121</v>
      </c>
      <c r="C107" t="s">
        <v>7</v>
      </c>
      <c r="D107" s="8" t="s">
        <v>18</v>
      </c>
      <c r="E107">
        <v>25</v>
      </c>
      <c r="F107" s="25">
        <v>44726</v>
      </c>
      <c r="G107" s="30">
        <v>109190</v>
      </c>
      <c r="H107" s="9" t="s">
        <v>206</v>
      </c>
      <c r="I107" s="9" t="s">
        <v>207</v>
      </c>
      <c r="J107" s="26">
        <f ca="1">(Calculations!$C$19-Employee_Details[[#This Row],[Date Joined]])/360</f>
        <v>4.3833333333333337</v>
      </c>
      <c r="K107" s="31">
        <f ca="1">IF(Employee_Details[[#This Row],[Tenure]]&gt;4,1.2*Employee_Details[[#This Row],[Salary]],0)</f>
        <v>131028</v>
      </c>
      <c r="L107" s="26">
        <f ca="1">IF(Employee_Details[[#This Row],[Bonus]]&gt;0,1,0)</f>
        <v>1</v>
      </c>
    </row>
    <row r="108" spans="2:12">
      <c r="B108" t="s">
        <v>122</v>
      </c>
      <c r="C108" t="s">
        <v>8</v>
      </c>
      <c r="D108" s="8" t="s">
        <v>24</v>
      </c>
      <c r="E108">
        <v>32</v>
      </c>
      <c r="F108" s="25">
        <v>44774</v>
      </c>
      <c r="G108" s="30">
        <v>91310</v>
      </c>
      <c r="H108" s="9" t="s">
        <v>208</v>
      </c>
      <c r="I108" s="9" t="s">
        <v>207</v>
      </c>
      <c r="J108" s="26">
        <f ca="1">(Calculations!$C$19-Employee_Details[[#This Row],[Date Joined]])/360</f>
        <v>4.25</v>
      </c>
      <c r="K108" s="31">
        <f ca="1">IF(Employee_Details[[#This Row],[Tenure]]&gt;4,1.2*Employee_Details[[#This Row],[Salary]],0)</f>
        <v>109572</v>
      </c>
      <c r="L108" s="26">
        <f ca="1">IF(Employee_Details[[#This Row],[Bonus]]&gt;0,1,0)</f>
        <v>1</v>
      </c>
    </row>
    <row r="109" spans="2:12">
      <c r="B109" t="s">
        <v>123</v>
      </c>
      <c r="C109" t="s">
        <v>6</v>
      </c>
      <c r="D109" s="8" t="s">
        <v>15</v>
      </c>
      <c r="E109">
        <v>32</v>
      </c>
      <c r="F109" s="25">
        <v>44339</v>
      </c>
      <c r="G109" s="30">
        <v>45510</v>
      </c>
      <c r="H109" s="9" t="s">
        <v>208</v>
      </c>
      <c r="I109" s="28" t="s">
        <v>212</v>
      </c>
      <c r="J109" s="26">
        <f ca="1">(Calculations!$C$19-Employee_Details[[#This Row],[Date Joined]])/360</f>
        <v>5.458333333333333</v>
      </c>
      <c r="K109" s="31">
        <f ca="1">IF(Employee_Details[[#This Row],[Tenure]]&gt;4,1.2*Employee_Details[[#This Row],[Salary]],0)</f>
        <v>54612</v>
      </c>
      <c r="L109" s="26">
        <f ca="1">IF(Employee_Details[[#This Row],[Bonus]]&gt;0,1,0)</f>
        <v>1</v>
      </c>
    </row>
    <row r="110" spans="2:12">
      <c r="B110" t="s">
        <v>124</v>
      </c>
      <c r="C110" t="s">
        <v>6</v>
      </c>
      <c r="D110" s="8" t="s">
        <v>12</v>
      </c>
      <c r="E110">
        <v>33</v>
      </c>
      <c r="F110" s="25">
        <v>44747</v>
      </c>
      <c r="G110" s="30">
        <v>86570</v>
      </c>
      <c r="H110" s="9" t="s">
        <v>208</v>
      </c>
      <c r="I110" s="28" t="s">
        <v>212</v>
      </c>
      <c r="J110" s="26">
        <f ca="1">(Calculations!$C$19-Employee_Details[[#This Row],[Date Joined]])/360</f>
        <v>4.3250000000000002</v>
      </c>
      <c r="K110" s="31">
        <f ca="1">IF(Employee_Details[[#This Row],[Tenure]]&gt;4,1.2*Employee_Details[[#This Row],[Salary]],0)</f>
        <v>103884</v>
      </c>
      <c r="L110" s="26">
        <f ca="1">IF(Employee_Details[[#This Row],[Bonus]]&gt;0,1,0)</f>
        <v>1</v>
      </c>
    </row>
    <row r="111" spans="2:12">
      <c r="B111" t="s">
        <v>125</v>
      </c>
      <c r="C111" t="s">
        <v>7</v>
      </c>
      <c r="D111" s="8" t="s">
        <v>18</v>
      </c>
      <c r="E111">
        <v>27</v>
      </c>
      <c r="F111" s="25">
        <v>44609</v>
      </c>
      <c r="G111" s="30">
        <v>113280</v>
      </c>
      <c r="H111" s="9" t="s">
        <v>211</v>
      </c>
      <c r="I111" s="9" t="s">
        <v>207</v>
      </c>
      <c r="J111" s="26">
        <f ca="1">(Calculations!$C$19-Employee_Details[[#This Row],[Date Joined]])/360</f>
        <v>4.708333333333333</v>
      </c>
      <c r="K111" s="31">
        <f ca="1">IF(Employee_Details[[#This Row],[Tenure]]&gt;4,1.2*Employee_Details[[#This Row],[Salary]],0)</f>
        <v>135936</v>
      </c>
      <c r="L111" s="26">
        <f ca="1">IF(Employee_Details[[#This Row],[Bonus]]&gt;0,1,0)</f>
        <v>1</v>
      </c>
    </row>
    <row r="112" spans="2:12">
      <c r="B112" t="s">
        <v>126</v>
      </c>
      <c r="C112" t="s">
        <v>7</v>
      </c>
      <c r="D112" s="8" t="s">
        <v>18</v>
      </c>
      <c r="E112">
        <v>30</v>
      </c>
      <c r="F112" s="25">
        <v>44640</v>
      </c>
      <c r="G112" s="30">
        <v>67950</v>
      </c>
      <c r="H112" s="9" t="s">
        <v>208</v>
      </c>
      <c r="I112" s="28" t="s">
        <v>212</v>
      </c>
      <c r="J112" s="26">
        <f ca="1">(Calculations!$C$19-Employee_Details[[#This Row],[Date Joined]])/360</f>
        <v>4.6222222222222218</v>
      </c>
      <c r="K112" s="31">
        <f ca="1">IF(Employee_Details[[#This Row],[Tenure]]&gt;4,1.2*Employee_Details[[#This Row],[Salary]],0)</f>
        <v>81540</v>
      </c>
      <c r="L112" s="26">
        <f ca="1">IF(Employee_Details[[#This Row],[Bonus]]&gt;0,1,0)</f>
        <v>1</v>
      </c>
    </row>
    <row r="113" spans="2:12">
      <c r="B113" t="s">
        <v>127</v>
      </c>
      <c r="C113" t="s">
        <v>6</v>
      </c>
      <c r="D113" s="8" t="s">
        <v>18</v>
      </c>
      <c r="E113">
        <v>30</v>
      </c>
      <c r="F113" s="25">
        <v>44800</v>
      </c>
      <c r="G113" s="30">
        <v>112570</v>
      </c>
      <c r="H113" s="9" t="s">
        <v>208</v>
      </c>
      <c r="I113" s="28" t="s">
        <v>212</v>
      </c>
      <c r="J113" s="26">
        <f ca="1">(Calculations!$C$19-Employee_Details[[#This Row],[Date Joined]])/360</f>
        <v>4.177777777777778</v>
      </c>
      <c r="K113" s="31">
        <f ca="1">IF(Employee_Details[[#This Row],[Tenure]]&gt;4,1.2*Employee_Details[[#This Row],[Salary]],0)</f>
        <v>135084</v>
      </c>
      <c r="L113" s="26">
        <f ca="1">IF(Employee_Details[[#This Row],[Bonus]]&gt;0,1,0)</f>
        <v>1</v>
      </c>
    </row>
    <row r="114" spans="2:12">
      <c r="B114" t="s">
        <v>128</v>
      </c>
      <c r="C114" t="s">
        <v>7</v>
      </c>
      <c r="D114" s="8" t="s">
        <v>18</v>
      </c>
      <c r="E114">
        <v>30</v>
      </c>
      <c r="F114" s="25">
        <v>44666</v>
      </c>
      <c r="G114" s="30">
        <v>60570</v>
      </c>
      <c r="H114" s="9" t="s">
        <v>208</v>
      </c>
      <c r="I114" s="9" t="s">
        <v>207</v>
      </c>
      <c r="J114" s="26">
        <f ca="1">(Calculations!$C$19-Employee_Details[[#This Row],[Date Joined]])/360</f>
        <v>4.55</v>
      </c>
      <c r="K114" s="31">
        <f ca="1">IF(Employee_Details[[#This Row],[Tenure]]&gt;4,1.2*Employee_Details[[#This Row],[Salary]],0)</f>
        <v>72684</v>
      </c>
      <c r="L114" s="26">
        <f ca="1">IF(Employee_Details[[#This Row],[Bonus]]&gt;0,1,0)</f>
        <v>1</v>
      </c>
    </row>
    <row r="115" spans="2:12">
      <c r="B115" t="s">
        <v>129</v>
      </c>
      <c r="C115" t="s">
        <v>6</v>
      </c>
      <c r="D115" s="8" t="s">
        <v>24</v>
      </c>
      <c r="E115">
        <v>40</v>
      </c>
      <c r="F115" s="25">
        <v>44320</v>
      </c>
      <c r="G115" s="30">
        <v>104410</v>
      </c>
      <c r="H115" s="9" t="s">
        <v>208</v>
      </c>
      <c r="I115" s="28" t="s">
        <v>212</v>
      </c>
      <c r="J115" s="26">
        <f ca="1">(Calculations!$C$19-Employee_Details[[#This Row],[Date Joined]])/360</f>
        <v>5.5111111111111111</v>
      </c>
      <c r="K115" s="31">
        <f ca="1">IF(Employee_Details[[#This Row],[Tenure]]&gt;4,1.2*Employee_Details[[#This Row],[Salary]],0)</f>
        <v>125292</v>
      </c>
      <c r="L115" s="26">
        <f ca="1">IF(Employee_Details[[#This Row],[Bonus]]&gt;0,1,0)</f>
        <v>1</v>
      </c>
    </row>
    <row r="116" spans="2:12">
      <c r="B116" t="s">
        <v>130</v>
      </c>
      <c r="C116" t="s">
        <v>7</v>
      </c>
      <c r="D116" s="8" t="s">
        <v>18</v>
      </c>
      <c r="E116">
        <v>30</v>
      </c>
      <c r="F116" s="25">
        <v>44607</v>
      </c>
      <c r="G116" s="30">
        <v>60570</v>
      </c>
      <c r="H116" s="9" t="s">
        <v>208</v>
      </c>
      <c r="I116" s="28" t="s">
        <v>212</v>
      </c>
      <c r="J116" s="26">
        <f ca="1">(Calculations!$C$19-Employee_Details[[#This Row],[Date Joined]])/360</f>
        <v>4.7138888888888886</v>
      </c>
      <c r="K116" s="31">
        <f ca="1">IF(Employee_Details[[#This Row],[Tenure]]&gt;4,1.2*Employee_Details[[#This Row],[Salary]],0)</f>
        <v>72684</v>
      </c>
      <c r="L116" s="26">
        <f ca="1">IF(Employee_Details[[#This Row],[Bonus]]&gt;0,1,0)</f>
        <v>1</v>
      </c>
    </row>
    <row r="117" spans="2:12">
      <c r="B117" t="s">
        <v>131</v>
      </c>
      <c r="C117" t="s">
        <v>6</v>
      </c>
      <c r="D117" s="8" t="s">
        <v>12</v>
      </c>
      <c r="E117">
        <v>21</v>
      </c>
      <c r="F117" s="25">
        <v>44317</v>
      </c>
      <c r="G117" s="30">
        <v>65920</v>
      </c>
      <c r="H117" s="9" t="s">
        <v>208</v>
      </c>
      <c r="I117" s="9" t="s">
        <v>207</v>
      </c>
      <c r="J117" s="26">
        <f ca="1">(Calculations!$C$19-Employee_Details[[#This Row],[Date Joined]])/360</f>
        <v>5.5194444444444448</v>
      </c>
      <c r="K117" s="31">
        <f ca="1">IF(Employee_Details[[#This Row],[Tenure]]&gt;4,1.2*Employee_Details[[#This Row],[Salary]],0)</f>
        <v>79104</v>
      </c>
      <c r="L117" s="26">
        <f ca="1">IF(Employee_Details[[#This Row],[Bonus]]&gt;0,1,0)</f>
        <v>1</v>
      </c>
    </row>
    <row r="118" spans="2:12">
      <c r="B118" t="s">
        <v>132</v>
      </c>
      <c r="C118" t="s">
        <v>6</v>
      </c>
      <c r="D118" s="8" t="s">
        <v>24</v>
      </c>
      <c r="E118">
        <v>40</v>
      </c>
      <c r="F118" s="25">
        <v>44337</v>
      </c>
      <c r="G118" s="30">
        <v>87620</v>
      </c>
      <c r="H118" s="9" t="s">
        <v>208</v>
      </c>
      <c r="I118" s="9" t="s">
        <v>207</v>
      </c>
      <c r="J118" s="26">
        <f ca="1">(Calculations!$C$19-Employee_Details[[#This Row],[Date Joined]])/360</f>
        <v>5.4638888888888886</v>
      </c>
      <c r="K118" s="31">
        <f ca="1">IF(Employee_Details[[#This Row],[Tenure]]&gt;4,1.2*Employee_Details[[#This Row],[Salary]],0)</f>
        <v>105144</v>
      </c>
      <c r="L118" s="26">
        <f ca="1">IF(Employee_Details[[#This Row],[Bonus]]&gt;0,1,0)</f>
        <v>1</v>
      </c>
    </row>
    <row r="119" spans="2:12">
      <c r="B119" t="s">
        <v>133</v>
      </c>
      <c r="C119" t="s">
        <v>6</v>
      </c>
      <c r="D119" s="8" t="s">
        <v>21</v>
      </c>
      <c r="E119">
        <v>38</v>
      </c>
      <c r="F119" s="25">
        <v>44268</v>
      </c>
      <c r="G119" s="30">
        <v>56870</v>
      </c>
      <c r="H119" s="9" t="s">
        <v>206</v>
      </c>
      <c r="I119" s="28" t="s">
        <v>212</v>
      </c>
      <c r="J119" s="26">
        <f ca="1">(Calculations!$C$19-Employee_Details[[#This Row],[Date Joined]])/360</f>
        <v>5.6555555555555559</v>
      </c>
      <c r="K119" s="31">
        <f ca="1">IF(Employee_Details[[#This Row],[Tenure]]&gt;4,1.2*Employee_Details[[#This Row],[Salary]],0)</f>
        <v>68244</v>
      </c>
      <c r="L119" s="26">
        <f ca="1">IF(Employee_Details[[#This Row],[Bonus]]&gt;0,1,0)</f>
        <v>1</v>
      </c>
    </row>
    <row r="120" spans="2:12">
      <c r="B120" t="s">
        <v>134</v>
      </c>
      <c r="C120" t="s">
        <v>7</v>
      </c>
      <c r="D120" s="8" t="s">
        <v>12</v>
      </c>
      <c r="E120">
        <v>30</v>
      </c>
      <c r="F120" s="25">
        <v>44544</v>
      </c>
      <c r="G120" s="30">
        <v>96800</v>
      </c>
      <c r="H120" s="9" t="s">
        <v>208</v>
      </c>
      <c r="I120" s="28" t="s">
        <v>212</v>
      </c>
      <c r="J120" s="26">
        <f ca="1">(Calculations!$C$19-Employee_Details[[#This Row],[Date Joined]])/360</f>
        <v>4.8888888888888893</v>
      </c>
      <c r="K120" s="31">
        <f ca="1">IF(Employee_Details[[#This Row],[Tenure]]&gt;4,1.2*Employee_Details[[#This Row],[Salary]],0)</f>
        <v>116160</v>
      </c>
      <c r="L120" s="26">
        <f ca="1">IF(Employee_Details[[#This Row],[Bonus]]&gt;0,1,0)</f>
        <v>1</v>
      </c>
    </row>
    <row r="121" spans="2:12">
      <c r="B121" t="s">
        <v>135</v>
      </c>
      <c r="C121" t="s">
        <v>7</v>
      </c>
      <c r="D121" s="8" t="s">
        <v>24</v>
      </c>
      <c r="E121">
        <v>20</v>
      </c>
      <c r="F121" s="25">
        <v>44183</v>
      </c>
      <c r="G121" s="30">
        <v>112650</v>
      </c>
      <c r="H121" s="9" t="s">
        <v>208</v>
      </c>
      <c r="I121" s="9" t="s">
        <v>207</v>
      </c>
      <c r="J121" s="26">
        <f ca="1">(Calculations!$C$19-Employee_Details[[#This Row],[Date Joined]])/360</f>
        <v>5.8916666666666666</v>
      </c>
      <c r="K121" s="31">
        <f ca="1">IF(Employee_Details[[#This Row],[Tenure]]&gt;4,1.2*Employee_Details[[#This Row],[Salary]],0)</f>
        <v>135180</v>
      </c>
      <c r="L121" s="26">
        <f ca="1">IF(Employee_Details[[#This Row],[Bonus]]&gt;0,1,0)</f>
        <v>1</v>
      </c>
    </row>
    <row r="122" spans="2:12">
      <c r="B122" t="s">
        <v>136</v>
      </c>
      <c r="C122" t="s">
        <v>7</v>
      </c>
      <c r="D122" s="8" t="s">
        <v>24</v>
      </c>
      <c r="E122">
        <v>37</v>
      </c>
      <c r="F122" s="25">
        <v>44701</v>
      </c>
      <c r="G122" s="30">
        <v>69070</v>
      </c>
      <c r="H122" s="9" t="s">
        <v>208</v>
      </c>
      <c r="I122" s="9" t="s">
        <v>207</v>
      </c>
      <c r="J122" s="26">
        <f ca="1">(Calculations!$C$19-Employee_Details[[#This Row],[Date Joined]])/360</f>
        <v>4.4527777777777775</v>
      </c>
      <c r="K122" s="31">
        <f ca="1">IF(Employee_Details[[#This Row],[Tenure]]&gt;4,1.2*Employee_Details[[#This Row],[Salary]],0)</f>
        <v>82884</v>
      </c>
      <c r="L122" s="26">
        <f ca="1">IF(Employee_Details[[#This Row],[Bonus]]&gt;0,1,0)</f>
        <v>1</v>
      </c>
    </row>
    <row r="123" spans="2:12">
      <c r="B123" t="s">
        <v>137</v>
      </c>
      <c r="C123" t="s">
        <v>7</v>
      </c>
      <c r="D123" s="8" t="s">
        <v>12</v>
      </c>
      <c r="E123">
        <v>33</v>
      </c>
      <c r="F123" s="25">
        <v>44243</v>
      </c>
      <c r="G123" s="30">
        <v>59430</v>
      </c>
      <c r="H123" s="9" t="s">
        <v>208</v>
      </c>
      <c r="I123" s="9" t="s">
        <v>207</v>
      </c>
      <c r="J123" s="26">
        <f ca="1">(Calculations!$C$19-Employee_Details[[#This Row],[Date Joined]])/360</f>
        <v>5.7249999999999996</v>
      </c>
      <c r="K123" s="31">
        <f ca="1">IF(Employee_Details[[#This Row],[Tenure]]&gt;4,1.2*Employee_Details[[#This Row],[Salary]],0)</f>
        <v>71316</v>
      </c>
      <c r="L123" s="26">
        <f ca="1">IF(Employee_Details[[#This Row],[Bonus]]&gt;0,1,0)</f>
        <v>1</v>
      </c>
    </row>
    <row r="124" spans="2:12">
      <c r="B124" t="s">
        <v>138</v>
      </c>
      <c r="C124" t="s">
        <v>7</v>
      </c>
      <c r="D124" s="8" t="s">
        <v>24</v>
      </c>
      <c r="E124">
        <v>30</v>
      </c>
      <c r="F124" s="25">
        <v>44850</v>
      </c>
      <c r="G124" s="30">
        <v>69710</v>
      </c>
      <c r="H124" s="9" t="s">
        <v>208</v>
      </c>
      <c r="I124" s="9" t="s">
        <v>207</v>
      </c>
      <c r="J124" s="26">
        <f ca="1">(Calculations!$C$19-Employee_Details[[#This Row],[Date Joined]])/360</f>
        <v>4.0388888888888888</v>
      </c>
      <c r="K124" s="31">
        <f ca="1">IF(Employee_Details[[#This Row],[Tenure]]&gt;4,1.2*Employee_Details[[#This Row],[Salary]],0)</f>
        <v>83652</v>
      </c>
      <c r="L124" s="26">
        <f ca="1">IF(Employee_Details[[#This Row],[Bonus]]&gt;0,1,0)</f>
        <v>1</v>
      </c>
    </row>
    <row r="125" spans="2:12">
      <c r="B125" t="s">
        <v>139</v>
      </c>
      <c r="C125" t="s">
        <v>6</v>
      </c>
      <c r="D125" s="8" t="s">
        <v>18</v>
      </c>
      <c r="E125">
        <v>42</v>
      </c>
      <c r="F125" s="25">
        <v>44718</v>
      </c>
      <c r="G125" s="30">
        <v>75000</v>
      </c>
      <c r="H125" s="9" t="s">
        <v>210</v>
      </c>
      <c r="I125" s="28" t="s">
        <v>212</v>
      </c>
      <c r="J125" s="26">
        <f ca="1">(Calculations!$C$19-Employee_Details[[#This Row],[Date Joined]])/360</f>
        <v>4.4055555555555559</v>
      </c>
      <c r="K125" s="31">
        <f ca="1">IF(Employee_Details[[#This Row],[Tenure]]&gt;4,1.2*Employee_Details[[#This Row],[Salary]],0)</f>
        <v>90000</v>
      </c>
      <c r="L125" s="26">
        <f ca="1">IF(Employee_Details[[#This Row],[Bonus]]&gt;0,1,0)</f>
        <v>1</v>
      </c>
    </row>
    <row r="126" spans="2:12">
      <c r="B126" t="s">
        <v>140</v>
      </c>
      <c r="C126" t="s">
        <v>7</v>
      </c>
      <c r="D126" s="8" t="s">
        <v>24</v>
      </c>
      <c r="E126">
        <v>29</v>
      </c>
      <c r="F126" s="25">
        <v>44119</v>
      </c>
      <c r="G126" s="30">
        <v>112110</v>
      </c>
      <c r="H126" s="9" t="s">
        <v>209</v>
      </c>
      <c r="I126" s="28" t="s">
        <v>212</v>
      </c>
      <c r="J126" s="26">
        <f ca="1">(Calculations!$C$19-Employee_Details[[#This Row],[Date Joined]])/360</f>
        <v>6.0694444444444446</v>
      </c>
      <c r="K126" s="31">
        <f ca="1">IF(Employee_Details[[#This Row],[Tenure]]&gt;4,1.2*Employee_Details[[#This Row],[Salary]],0)</f>
        <v>134532</v>
      </c>
      <c r="L126" s="26">
        <f ca="1">IF(Employee_Details[[#This Row],[Bonus]]&gt;0,1,0)</f>
        <v>1</v>
      </c>
    </row>
    <row r="127" spans="2:12">
      <c r="B127" t="s">
        <v>141</v>
      </c>
      <c r="C127" t="s">
        <v>6</v>
      </c>
      <c r="D127" s="8" t="s">
        <v>24</v>
      </c>
      <c r="E127">
        <v>29</v>
      </c>
      <c r="F127" s="25">
        <v>44023</v>
      </c>
      <c r="G127" s="30">
        <v>34980</v>
      </c>
      <c r="H127" s="9" t="s">
        <v>208</v>
      </c>
      <c r="I127" s="9" t="s">
        <v>207</v>
      </c>
      <c r="J127" s="26">
        <f ca="1">(Calculations!$C$19-Employee_Details[[#This Row],[Date Joined]])/360</f>
        <v>6.3361111111111112</v>
      </c>
      <c r="K127" s="31">
        <f ca="1">IF(Employee_Details[[#This Row],[Tenure]]&gt;4,1.2*Employee_Details[[#This Row],[Salary]],0)</f>
        <v>41976</v>
      </c>
      <c r="L127" s="26">
        <f ca="1">IF(Employee_Details[[#This Row],[Bonus]]&gt;0,1,0)</f>
        <v>1</v>
      </c>
    </row>
    <row r="128" spans="2:12">
      <c r="B128" t="s">
        <v>142</v>
      </c>
      <c r="C128" t="s">
        <v>6</v>
      </c>
      <c r="D128" s="8" t="s">
        <v>12</v>
      </c>
      <c r="E128">
        <v>34</v>
      </c>
      <c r="F128" s="25">
        <v>44653</v>
      </c>
      <c r="G128" s="30">
        <v>58940</v>
      </c>
      <c r="H128" s="9" t="s">
        <v>208</v>
      </c>
      <c r="I128" s="9" t="s">
        <v>207</v>
      </c>
      <c r="J128" s="26">
        <f ca="1">(Calculations!$C$19-Employee_Details[[#This Row],[Date Joined]])/360</f>
        <v>4.5861111111111112</v>
      </c>
      <c r="K128" s="31">
        <f ca="1">IF(Employee_Details[[#This Row],[Tenure]]&gt;4,1.2*Employee_Details[[#This Row],[Salary]],0)</f>
        <v>70728</v>
      </c>
      <c r="L128" s="26">
        <f ca="1">IF(Employee_Details[[#This Row],[Bonus]]&gt;0,1,0)</f>
        <v>1</v>
      </c>
    </row>
    <row r="129" spans="2:12">
      <c r="B129" t="s">
        <v>143</v>
      </c>
      <c r="C129" t="s">
        <v>6</v>
      </c>
      <c r="D129" s="8" t="s">
        <v>21</v>
      </c>
      <c r="E129">
        <v>38</v>
      </c>
      <c r="F129" s="25">
        <v>44329</v>
      </c>
      <c r="G129" s="30">
        <v>56870</v>
      </c>
      <c r="H129" s="9" t="s">
        <v>206</v>
      </c>
      <c r="I129" s="9" t="s">
        <v>207</v>
      </c>
      <c r="J129" s="26">
        <f ca="1">(Calculations!$C$19-Employee_Details[[#This Row],[Date Joined]])/360</f>
        <v>5.4861111111111107</v>
      </c>
      <c r="K129" s="31">
        <f ca="1">IF(Employee_Details[[#This Row],[Tenure]]&gt;4,1.2*Employee_Details[[#This Row],[Salary]],0)</f>
        <v>68244</v>
      </c>
      <c r="L129" s="26">
        <f ca="1">IF(Employee_Details[[#This Row],[Bonus]]&gt;0,1,0)</f>
        <v>1</v>
      </c>
    </row>
    <row r="130" spans="2:12">
      <c r="B130" t="s">
        <v>144</v>
      </c>
      <c r="C130" t="s">
        <v>7</v>
      </c>
      <c r="D130" s="8" t="s">
        <v>18</v>
      </c>
      <c r="E130">
        <v>21</v>
      </c>
      <c r="F130" s="25">
        <v>44104</v>
      </c>
      <c r="G130" s="30">
        <v>37920</v>
      </c>
      <c r="H130" s="9" t="s">
        <v>208</v>
      </c>
      <c r="I130" s="9" t="s">
        <v>207</v>
      </c>
      <c r="J130" s="26">
        <f ca="1">(Calculations!$C$19-Employee_Details[[#This Row],[Date Joined]])/360</f>
        <v>6.1111111111111107</v>
      </c>
      <c r="K130" s="31">
        <f ca="1">IF(Employee_Details[[#This Row],[Tenure]]&gt;4,1.2*Employee_Details[[#This Row],[Salary]],0)</f>
        <v>45504</v>
      </c>
      <c r="L130" s="26">
        <f ca="1">IF(Employee_Details[[#This Row],[Bonus]]&gt;0,1,0)</f>
        <v>1</v>
      </c>
    </row>
    <row r="131" spans="2:12">
      <c r="B131" t="s">
        <v>145</v>
      </c>
      <c r="C131" t="s">
        <v>7</v>
      </c>
      <c r="D131" s="8" t="s">
        <v>18</v>
      </c>
      <c r="E131">
        <v>33</v>
      </c>
      <c r="F131" s="25">
        <v>44640</v>
      </c>
      <c r="G131" s="30">
        <v>48530</v>
      </c>
      <c r="H131" s="9" t="s">
        <v>206</v>
      </c>
      <c r="I131" s="28" t="s">
        <v>212</v>
      </c>
      <c r="J131" s="26">
        <f ca="1">(Calculations!$C$19-Employee_Details[[#This Row],[Date Joined]])/360</f>
        <v>4.6222222222222218</v>
      </c>
      <c r="K131" s="31">
        <f ca="1">IF(Employee_Details[[#This Row],[Tenure]]&gt;4,1.2*Employee_Details[[#This Row],[Salary]],0)</f>
        <v>58236</v>
      </c>
      <c r="L131" s="26">
        <f ca="1">IF(Employee_Details[[#This Row],[Bonus]]&gt;0,1,0)</f>
        <v>1</v>
      </c>
    </row>
    <row r="132" spans="2:12">
      <c r="B132" t="s">
        <v>146</v>
      </c>
      <c r="C132" t="s">
        <v>7</v>
      </c>
      <c r="D132" s="8" t="s">
        <v>24</v>
      </c>
      <c r="E132">
        <v>33</v>
      </c>
      <c r="F132" s="25">
        <v>44448</v>
      </c>
      <c r="G132" s="30">
        <v>53870</v>
      </c>
      <c r="H132" s="9" t="s">
        <v>208</v>
      </c>
      <c r="I132" s="28" t="s">
        <v>212</v>
      </c>
      <c r="J132" s="26">
        <f ca="1">(Calculations!$C$19-Employee_Details[[#This Row],[Date Joined]])/360</f>
        <v>5.1555555555555559</v>
      </c>
      <c r="K132" s="31">
        <f ca="1">IF(Employee_Details[[#This Row],[Tenure]]&gt;4,1.2*Employee_Details[[#This Row],[Salary]],0)</f>
        <v>64644</v>
      </c>
      <c r="L132" s="26">
        <f ca="1">IF(Employee_Details[[#This Row],[Bonus]]&gt;0,1,0)</f>
        <v>1</v>
      </c>
    </row>
    <row r="133" spans="2:12">
      <c r="B133" t="s">
        <v>147</v>
      </c>
      <c r="C133" t="s">
        <v>6</v>
      </c>
      <c r="D133" s="8" t="s">
        <v>24</v>
      </c>
      <c r="E133">
        <v>31</v>
      </c>
      <c r="F133" s="25">
        <v>44604</v>
      </c>
      <c r="G133" s="30">
        <v>58100</v>
      </c>
      <c r="H133" s="9" t="s">
        <v>208</v>
      </c>
      <c r="I133" s="28" t="s">
        <v>212</v>
      </c>
      <c r="J133" s="26">
        <f ca="1">(Calculations!$C$19-Employee_Details[[#This Row],[Date Joined]])/360</f>
        <v>4.7222222222222223</v>
      </c>
      <c r="K133" s="31">
        <f ca="1">IF(Employee_Details[[#This Row],[Tenure]]&gt;4,1.2*Employee_Details[[#This Row],[Salary]],0)</f>
        <v>69720</v>
      </c>
      <c r="L133" s="26">
        <f ca="1">IF(Employee_Details[[#This Row],[Bonus]]&gt;0,1,0)</f>
        <v>1</v>
      </c>
    </row>
    <row r="134" spans="2:12">
      <c r="B134" t="s">
        <v>148</v>
      </c>
      <c r="C134" t="s">
        <v>6</v>
      </c>
      <c r="D134" s="8" t="s">
        <v>18</v>
      </c>
      <c r="E134">
        <v>32</v>
      </c>
      <c r="F134" s="25">
        <v>44549</v>
      </c>
      <c r="G134" s="30">
        <v>41570</v>
      </c>
      <c r="H134" s="9" t="s">
        <v>208</v>
      </c>
      <c r="I134" s="28" t="s">
        <v>212</v>
      </c>
      <c r="J134" s="26">
        <f ca="1">(Calculations!$C$19-Employee_Details[[#This Row],[Date Joined]])/360</f>
        <v>4.875</v>
      </c>
      <c r="K134" s="31">
        <f ca="1">IF(Employee_Details[[#This Row],[Tenure]]&gt;4,1.2*Employee_Details[[#This Row],[Salary]],0)</f>
        <v>49884</v>
      </c>
      <c r="L134" s="26">
        <f ca="1">IF(Employee_Details[[#This Row],[Bonus]]&gt;0,1,0)</f>
        <v>1</v>
      </c>
    </row>
    <row r="135" spans="2:12">
      <c r="B135" t="s">
        <v>149</v>
      </c>
      <c r="C135" t="s">
        <v>6</v>
      </c>
      <c r="D135" s="8" t="s">
        <v>21</v>
      </c>
      <c r="E135">
        <v>25</v>
      </c>
      <c r="F135" s="25">
        <v>44144</v>
      </c>
      <c r="G135" s="30">
        <v>92700</v>
      </c>
      <c r="H135" s="9" t="s">
        <v>208</v>
      </c>
      <c r="I135" s="28" t="s">
        <v>212</v>
      </c>
      <c r="J135" s="26">
        <f ca="1">(Calculations!$C$19-Employee_Details[[#This Row],[Date Joined]])/360</f>
        <v>6</v>
      </c>
      <c r="K135" s="31">
        <f ca="1">IF(Employee_Details[[#This Row],[Tenure]]&gt;4,1.2*Employee_Details[[#This Row],[Salary]],0)</f>
        <v>111240</v>
      </c>
      <c r="L135" s="26">
        <f ca="1">IF(Employee_Details[[#This Row],[Bonus]]&gt;0,1,0)</f>
        <v>1</v>
      </c>
    </row>
    <row r="136" spans="2:12">
      <c r="B136" t="s">
        <v>150</v>
      </c>
      <c r="C136" t="s">
        <v>6</v>
      </c>
      <c r="D136" s="8" t="s">
        <v>21</v>
      </c>
      <c r="E136">
        <v>38</v>
      </c>
      <c r="F136" s="25">
        <v>44377</v>
      </c>
      <c r="G136" s="30">
        <v>109160</v>
      </c>
      <c r="H136" s="9" t="s">
        <v>210</v>
      </c>
      <c r="I136" s="9" t="s">
        <v>207</v>
      </c>
      <c r="J136" s="26">
        <f ca="1">(Calculations!$C$19-Employee_Details[[#This Row],[Date Joined]])/360</f>
        <v>5.3527777777777779</v>
      </c>
      <c r="K136" s="31">
        <f ca="1">IF(Employee_Details[[#This Row],[Tenure]]&gt;4,1.2*Employee_Details[[#This Row],[Salary]],0)</f>
        <v>130992</v>
      </c>
      <c r="L136" s="26">
        <f ca="1">IF(Employee_Details[[#This Row],[Bonus]]&gt;0,1,0)</f>
        <v>1</v>
      </c>
    </row>
    <row r="137" spans="2:12">
      <c r="B137" t="s">
        <v>151</v>
      </c>
      <c r="C137" t="s">
        <v>7</v>
      </c>
      <c r="D137" s="8" t="s">
        <v>24</v>
      </c>
      <c r="E137">
        <v>30</v>
      </c>
      <c r="F137" s="25">
        <v>44214</v>
      </c>
      <c r="G137" s="30">
        <v>69120</v>
      </c>
      <c r="H137" s="9" t="s">
        <v>208</v>
      </c>
      <c r="I137" s="28" t="s">
        <v>212</v>
      </c>
      <c r="J137" s="26">
        <f ca="1">(Calculations!$C$19-Employee_Details[[#This Row],[Date Joined]])/360</f>
        <v>5.8055555555555554</v>
      </c>
      <c r="K137" s="31">
        <f ca="1">IF(Employee_Details[[#This Row],[Tenure]]&gt;4,1.2*Employee_Details[[#This Row],[Salary]],0)</f>
        <v>82944</v>
      </c>
      <c r="L137" s="26">
        <f ca="1">IF(Employee_Details[[#This Row],[Bonus]]&gt;0,1,0)</f>
        <v>1</v>
      </c>
    </row>
    <row r="138" spans="2:12">
      <c r="B138" t="s">
        <v>152</v>
      </c>
      <c r="C138" t="s">
        <v>6</v>
      </c>
      <c r="D138" s="8" t="s">
        <v>24</v>
      </c>
      <c r="E138">
        <v>44</v>
      </c>
      <c r="F138" s="25">
        <v>44985</v>
      </c>
      <c r="G138" s="30">
        <v>114870</v>
      </c>
      <c r="H138" s="9" t="s">
        <v>208</v>
      </c>
      <c r="I138" s="28" t="s">
        <v>212</v>
      </c>
      <c r="J138" s="26">
        <f ca="1">(Calculations!$C$19-Employee_Details[[#This Row],[Date Joined]])/360</f>
        <v>3.6638888888888888</v>
      </c>
      <c r="K138" s="31">
        <f ca="1">IF(Employee_Details[[#This Row],[Tenure]]&gt;4,1.2*Employee_Details[[#This Row],[Salary]],0)</f>
        <v>0</v>
      </c>
      <c r="L138" s="26">
        <f ca="1">IF(Employee_Details[[#This Row],[Bonus]]&gt;0,1,0)</f>
        <v>0</v>
      </c>
    </row>
    <row r="139" spans="2:12">
      <c r="B139" t="s">
        <v>153</v>
      </c>
      <c r="C139" t="s">
        <v>7</v>
      </c>
      <c r="D139" s="8" t="s">
        <v>18</v>
      </c>
      <c r="E139">
        <v>46</v>
      </c>
      <c r="F139" s="25">
        <v>44697</v>
      </c>
      <c r="G139" s="30">
        <v>70610</v>
      </c>
      <c r="H139" s="9" t="s">
        <v>208</v>
      </c>
      <c r="I139" s="28" t="s">
        <v>212</v>
      </c>
      <c r="J139" s="26">
        <f ca="1">(Calculations!$C$19-Employee_Details[[#This Row],[Date Joined]])/360</f>
        <v>4.4638888888888886</v>
      </c>
      <c r="K139" s="31">
        <f ca="1">IF(Employee_Details[[#This Row],[Tenure]]&gt;4,1.2*Employee_Details[[#This Row],[Salary]],0)</f>
        <v>84732</v>
      </c>
      <c r="L139" s="26">
        <f ca="1">IF(Employee_Details[[#This Row],[Bonus]]&gt;0,1,0)</f>
        <v>1</v>
      </c>
    </row>
    <row r="140" spans="2:12">
      <c r="B140" t="s">
        <v>17</v>
      </c>
      <c r="C140" t="s">
        <v>7</v>
      </c>
      <c r="D140" s="8" t="s">
        <v>18</v>
      </c>
      <c r="E140">
        <v>33</v>
      </c>
      <c r="F140" s="25">
        <v>44164</v>
      </c>
      <c r="G140" s="30">
        <v>115920</v>
      </c>
      <c r="H140" s="9" t="s">
        <v>208</v>
      </c>
      <c r="I140" s="9" t="s">
        <v>207</v>
      </c>
      <c r="J140" s="26">
        <f ca="1">(Calculations!$C$19-Employee_Details[[#This Row],[Date Joined]])/360</f>
        <v>5.9444444444444446</v>
      </c>
      <c r="K140" s="31">
        <f ca="1">IF(Employee_Details[[#This Row],[Tenure]]&gt;4,1.2*Employee_Details[[#This Row],[Salary]],0)</f>
        <v>139104</v>
      </c>
      <c r="L140" s="26">
        <f ca="1">IF(Employee_Details[[#This Row],[Bonus]]&gt;0,1,0)</f>
        <v>1</v>
      </c>
    </row>
    <row r="141" spans="2:12">
      <c r="B141" t="s">
        <v>154</v>
      </c>
      <c r="C141" t="s">
        <v>8</v>
      </c>
      <c r="D141" s="8" t="s">
        <v>24</v>
      </c>
      <c r="E141">
        <v>32</v>
      </c>
      <c r="F141" s="25">
        <v>44713</v>
      </c>
      <c r="G141" s="30">
        <v>91310</v>
      </c>
      <c r="H141" s="9" t="s">
        <v>208</v>
      </c>
      <c r="I141" s="28" t="s">
        <v>212</v>
      </c>
      <c r="J141" s="26">
        <f ca="1">(Calculations!$C$19-Employee_Details[[#This Row],[Date Joined]])/360</f>
        <v>4.4194444444444443</v>
      </c>
      <c r="K141" s="31">
        <f ca="1">IF(Employee_Details[[#This Row],[Tenure]]&gt;4,1.2*Employee_Details[[#This Row],[Salary]],0)</f>
        <v>109572</v>
      </c>
      <c r="L141" s="26">
        <f ca="1">IF(Employee_Details[[#This Row],[Bonus]]&gt;0,1,0)</f>
        <v>1</v>
      </c>
    </row>
    <row r="142" spans="2:12">
      <c r="B142" t="s">
        <v>155</v>
      </c>
      <c r="C142" t="s">
        <v>7</v>
      </c>
      <c r="D142" s="8" t="s">
        <v>21</v>
      </c>
      <c r="E142">
        <v>28</v>
      </c>
      <c r="F142" s="25">
        <v>44758</v>
      </c>
      <c r="G142" s="30">
        <v>43510</v>
      </c>
      <c r="H142" s="9" t="s">
        <v>211</v>
      </c>
      <c r="I142" s="28" t="s">
        <v>212</v>
      </c>
      <c r="J142" s="26">
        <f ca="1">(Calculations!$C$19-Employee_Details[[#This Row],[Date Joined]])/360</f>
        <v>4.2944444444444443</v>
      </c>
      <c r="K142" s="31">
        <f ca="1">IF(Employee_Details[[#This Row],[Tenure]]&gt;4,1.2*Employee_Details[[#This Row],[Salary]],0)</f>
        <v>52212</v>
      </c>
      <c r="L142" s="26">
        <f ca="1">IF(Employee_Details[[#This Row],[Bonus]]&gt;0,1,0)</f>
        <v>1</v>
      </c>
    </row>
    <row r="143" spans="2:12">
      <c r="B143" t="s">
        <v>156</v>
      </c>
      <c r="C143" t="s">
        <v>6</v>
      </c>
      <c r="D143" s="8" t="s">
        <v>18</v>
      </c>
      <c r="E143">
        <v>36</v>
      </c>
      <c r="F143" s="25">
        <v>44468</v>
      </c>
      <c r="G143" s="30">
        <v>78390</v>
      </c>
      <c r="H143" s="9" t="s">
        <v>208</v>
      </c>
      <c r="I143" s="28" t="s">
        <v>212</v>
      </c>
      <c r="J143" s="26">
        <f ca="1">(Calculations!$C$19-Employee_Details[[#This Row],[Date Joined]])/360</f>
        <v>5.0999999999999996</v>
      </c>
      <c r="K143" s="31">
        <f ca="1">IF(Employee_Details[[#This Row],[Tenure]]&gt;4,1.2*Employee_Details[[#This Row],[Salary]],0)</f>
        <v>94068</v>
      </c>
      <c r="L143" s="26">
        <f ca="1">IF(Employee_Details[[#This Row],[Bonus]]&gt;0,1,0)</f>
        <v>1</v>
      </c>
    </row>
    <row r="144" spans="2:12">
      <c r="B144" t="s">
        <v>157</v>
      </c>
      <c r="C144" t="s">
        <v>7</v>
      </c>
      <c r="D144" s="8" t="s">
        <v>18</v>
      </c>
      <c r="E144">
        <v>23</v>
      </c>
      <c r="F144" s="25">
        <v>44378</v>
      </c>
      <c r="G144" s="30">
        <v>106460</v>
      </c>
      <c r="H144" s="9" t="s">
        <v>208</v>
      </c>
      <c r="I144" s="28" t="s">
        <v>212</v>
      </c>
      <c r="J144" s="26">
        <f ca="1">(Calculations!$C$19-Employee_Details[[#This Row],[Date Joined]])/360</f>
        <v>5.35</v>
      </c>
      <c r="K144" s="31">
        <f ca="1">IF(Employee_Details[[#This Row],[Tenure]]&gt;4,1.2*Employee_Details[[#This Row],[Salary]],0)</f>
        <v>127752</v>
      </c>
      <c r="L144" s="26">
        <f ca="1">IF(Employee_Details[[#This Row],[Bonus]]&gt;0,1,0)</f>
        <v>1</v>
      </c>
    </row>
    <row r="145" spans="2:12">
      <c r="B145" t="s">
        <v>14</v>
      </c>
      <c r="C145" t="s">
        <v>8</v>
      </c>
      <c r="D145" s="8" t="s">
        <v>12</v>
      </c>
      <c r="E145">
        <v>37</v>
      </c>
      <c r="F145" s="25">
        <v>44085</v>
      </c>
      <c r="G145" s="30">
        <v>115440</v>
      </c>
      <c r="H145" s="9" t="s">
        <v>209</v>
      </c>
      <c r="I145" s="28" t="s">
        <v>212</v>
      </c>
      <c r="J145" s="26">
        <f ca="1">(Calculations!$C$19-Employee_Details[[#This Row],[Date Joined]])/360</f>
        <v>6.1638888888888888</v>
      </c>
      <c r="K145" s="31">
        <f ca="1">IF(Employee_Details[[#This Row],[Tenure]]&gt;4,1.2*Employee_Details[[#This Row],[Salary]],0)</f>
        <v>138528</v>
      </c>
      <c r="L145" s="26">
        <f ca="1">IF(Employee_Details[[#This Row],[Bonus]]&gt;0,1,0)</f>
        <v>1</v>
      </c>
    </row>
    <row r="146" spans="2:12">
      <c r="B146" t="s">
        <v>158</v>
      </c>
      <c r="C146" t="s">
        <v>7</v>
      </c>
      <c r="D146" s="8" t="s">
        <v>15</v>
      </c>
      <c r="E146">
        <v>21</v>
      </c>
      <c r="F146" s="25">
        <v>44180</v>
      </c>
      <c r="G146" s="30">
        <v>75880</v>
      </c>
      <c r="H146" s="9" t="s">
        <v>208</v>
      </c>
      <c r="I146" s="28" t="s">
        <v>212</v>
      </c>
      <c r="J146" s="26">
        <f ca="1">(Calculations!$C$19-Employee_Details[[#This Row],[Date Joined]])/360</f>
        <v>5.9</v>
      </c>
      <c r="K146" s="31">
        <f ca="1">IF(Employee_Details[[#This Row],[Tenure]]&gt;4,1.2*Employee_Details[[#This Row],[Salary]],0)</f>
        <v>91056</v>
      </c>
      <c r="L146" s="26">
        <f ca="1">IF(Employee_Details[[#This Row],[Bonus]]&gt;0,1,0)</f>
        <v>1</v>
      </c>
    </row>
    <row r="147" spans="2:12">
      <c r="B147" t="s">
        <v>159</v>
      </c>
      <c r="C147" t="s">
        <v>7</v>
      </c>
      <c r="D147" s="8" t="s">
        <v>21</v>
      </c>
      <c r="E147">
        <v>27</v>
      </c>
      <c r="F147" s="25">
        <v>44073</v>
      </c>
      <c r="G147" s="30">
        <v>54970</v>
      </c>
      <c r="H147" s="9" t="s">
        <v>208</v>
      </c>
      <c r="I147" s="28" t="s">
        <v>212</v>
      </c>
      <c r="J147" s="26">
        <f ca="1">(Calculations!$C$19-Employee_Details[[#This Row],[Date Joined]])/360</f>
        <v>6.197222222222222</v>
      </c>
      <c r="K147" s="31">
        <f ca="1">IF(Employee_Details[[#This Row],[Tenure]]&gt;4,1.2*Employee_Details[[#This Row],[Salary]],0)</f>
        <v>65964</v>
      </c>
      <c r="L147" s="26">
        <f ca="1">IF(Employee_Details[[#This Row],[Bonus]]&gt;0,1,0)</f>
        <v>1</v>
      </c>
    </row>
    <row r="148" spans="2:12">
      <c r="B148" t="s">
        <v>20</v>
      </c>
      <c r="C148" t="s">
        <v>7</v>
      </c>
      <c r="D148" s="8" t="s">
        <v>18</v>
      </c>
      <c r="E148">
        <v>33</v>
      </c>
      <c r="F148" s="25">
        <v>44103</v>
      </c>
      <c r="G148" s="30">
        <v>115920</v>
      </c>
      <c r="H148" s="9" t="s">
        <v>208</v>
      </c>
      <c r="I148" s="28" t="s">
        <v>212</v>
      </c>
      <c r="J148" s="26">
        <f ca="1">(Calculations!$C$19-Employee_Details[[#This Row],[Date Joined]])/360</f>
        <v>6.1138888888888889</v>
      </c>
      <c r="K148" s="31">
        <f ca="1">IF(Employee_Details[[#This Row],[Tenure]]&gt;4,1.2*Employee_Details[[#This Row],[Salary]],0)</f>
        <v>139104</v>
      </c>
      <c r="L148" s="26">
        <f ca="1">IF(Employee_Details[[#This Row],[Bonus]]&gt;0,1,0)</f>
        <v>1</v>
      </c>
    </row>
    <row r="149" spans="2:12">
      <c r="B149" t="s">
        <v>160</v>
      </c>
      <c r="C149" t="s">
        <v>6</v>
      </c>
      <c r="D149" s="8" t="s">
        <v>18</v>
      </c>
      <c r="E149">
        <v>30</v>
      </c>
      <c r="F149" s="25">
        <v>44789</v>
      </c>
      <c r="G149" s="30">
        <v>114180</v>
      </c>
      <c r="H149" s="9" t="s">
        <v>208</v>
      </c>
      <c r="I149" s="28" t="s">
        <v>212</v>
      </c>
      <c r="J149" s="26">
        <f ca="1">(Calculations!$C$19-Employee_Details[[#This Row],[Date Joined]])/360</f>
        <v>4.208333333333333</v>
      </c>
      <c r="K149" s="31">
        <f ca="1">IF(Employee_Details[[#This Row],[Tenure]]&gt;4,1.2*Employee_Details[[#This Row],[Salary]],0)</f>
        <v>137016</v>
      </c>
      <c r="L149" s="26">
        <f ca="1">IF(Employee_Details[[#This Row],[Bonus]]&gt;0,1,0)</f>
        <v>1</v>
      </c>
    </row>
    <row r="150" spans="2:12">
      <c r="B150" t="s">
        <v>161</v>
      </c>
      <c r="C150" t="s">
        <v>6</v>
      </c>
      <c r="D150" s="8" t="s">
        <v>18</v>
      </c>
      <c r="E150">
        <v>28</v>
      </c>
      <c r="F150" s="25">
        <v>44590</v>
      </c>
      <c r="G150" s="30">
        <v>104120</v>
      </c>
      <c r="H150" s="9" t="s">
        <v>208</v>
      </c>
      <c r="I150" s="28" t="s">
        <v>212</v>
      </c>
      <c r="J150" s="26">
        <f ca="1">(Calculations!$C$19-Employee_Details[[#This Row],[Date Joined]])/360</f>
        <v>4.7611111111111111</v>
      </c>
      <c r="K150" s="31">
        <f ca="1">IF(Employee_Details[[#This Row],[Tenure]]&gt;4,1.2*Employee_Details[[#This Row],[Salary]],0)</f>
        <v>124944</v>
      </c>
      <c r="L150" s="26">
        <f ca="1">IF(Employee_Details[[#This Row],[Bonus]]&gt;0,1,0)</f>
        <v>1</v>
      </c>
    </row>
    <row r="151" spans="2:12">
      <c r="B151" t="s">
        <v>162</v>
      </c>
      <c r="C151" t="s">
        <v>7</v>
      </c>
      <c r="D151" s="8" t="s">
        <v>18</v>
      </c>
      <c r="E151">
        <v>31</v>
      </c>
      <c r="F151" s="25">
        <v>44663</v>
      </c>
      <c r="G151" s="30">
        <v>103550</v>
      </c>
      <c r="H151" s="9" t="s">
        <v>208</v>
      </c>
      <c r="I151" s="28" t="s">
        <v>212</v>
      </c>
      <c r="J151" s="26">
        <f ca="1">(Calculations!$C$19-Employee_Details[[#This Row],[Date Joined]])/360</f>
        <v>4.5583333333333336</v>
      </c>
      <c r="K151" s="31">
        <f ca="1">IF(Employee_Details[[#This Row],[Tenure]]&gt;4,1.2*Employee_Details[[#This Row],[Salary]],0)</f>
        <v>124260</v>
      </c>
      <c r="L151" s="26">
        <f ca="1">IF(Employee_Details[[#This Row],[Bonus]]&gt;0,1,0)</f>
        <v>1</v>
      </c>
    </row>
    <row r="152" spans="2:12">
      <c r="B152" t="s">
        <v>163</v>
      </c>
      <c r="C152" t="s">
        <v>6</v>
      </c>
      <c r="D152" s="8" t="s">
        <v>21</v>
      </c>
      <c r="E152">
        <v>38</v>
      </c>
      <c r="F152" s="25">
        <v>44316</v>
      </c>
      <c r="G152" s="30">
        <v>109160</v>
      </c>
      <c r="H152" s="9" t="s">
        <v>210</v>
      </c>
      <c r="I152" s="28" t="s">
        <v>212</v>
      </c>
      <c r="J152" s="26">
        <f ca="1">(Calculations!$C$19-Employee_Details[[#This Row],[Date Joined]])/360</f>
        <v>5.5222222222222221</v>
      </c>
      <c r="K152" s="31">
        <f ca="1">IF(Employee_Details[[#This Row],[Tenure]]&gt;4,1.2*Employee_Details[[#This Row],[Salary]],0)</f>
        <v>130992</v>
      </c>
      <c r="L152" s="26">
        <f ca="1">IF(Employee_Details[[#This Row],[Bonus]]&gt;0,1,0)</f>
        <v>1</v>
      </c>
    </row>
    <row r="153" spans="2:12">
      <c r="B153" t="s">
        <v>164</v>
      </c>
      <c r="C153" t="s">
        <v>7</v>
      </c>
      <c r="D153" s="8" t="s">
        <v>15</v>
      </c>
      <c r="E153">
        <v>21</v>
      </c>
      <c r="F153" s="25">
        <v>44242</v>
      </c>
      <c r="G153" s="30">
        <v>75880</v>
      </c>
      <c r="H153" s="9" t="s">
        <v>208</v>
      </c>
      <c r="I153" s="9" t="s">
        <v>207</v>
      </c>
      <c r="J153" s="26">
        <f ca="1">(Calculations!$C$19-Employee_Details[[#This Row],[Date Joined]])/360</f>
        <v>5.7277777777777779</v>
      </c>
      <c r="K153" s="31">
        <f ca="1">IF(Employee_Details[[#This Row],[Tenure]]&gt;4,1.2*Employee_Details[[#This Row],[Salary]],0)</f>
        <v>91056</v>
      </c>
      <c r="L153" s="26">
        <f ca="1">IF(Employee_Details[[#This Row],[Bonus]]&gt;0,1,0)</f>
        <v>1</v>
      </c>
    </row>
    <row r="154" spans="2:12">
      <c r="B154" t="s">
        <v>165</v>
      </c>
      <c r="C154" t="s">
        <v>7</v>
      </c>
      <c r="D154" s="8" t="s">
        <v>18</v>
      </c>
      <c r="E154">
        <v>21</v>
      </c>
      <c r="F154" s="25">
        <v>44701</v>
      </c>
      <c r="G154" s="30">
        <v>57090</v>
      </c>
      <c r="H154" s="9" t="s">
        <v>208</v>
      </c>
      <c r="I154" s="28" t="s">
        <v>212</v>
      </c>
      <c r="J154" s="26">
        <f ca="1">(Calculations!$C$19-Employee_Details[[#This Row],[Date Joined]])/360</f>
        <v>4.4527777777777775</v>
      </c>
      <c r="K154" s="31">
        <f ca="1">IF(Employee_Details[[#This Row],[Tenure]]&gt;4,1.2*Employee_Details[[#This Row],[Salary]],0)</f>
        <v>68508</v>
      </c>
      <c r="L154" s="26">
        <f ca="1">IF(Employee_Details[[#This Row],[Bonus]]&gt;0,1,0)</f>
        <v>1</v>
      </c>
    </row>
    <row r="155" spans="2:12">
      <c r="B155" t="s">
        <v>166</v>
      </c>
      <c r="C155" t="s">
        <v>7</v>
      </c>
      <c r="D155" s="8" t="s">
        <v>12</v>
      </c>
      <c r="E155">
        <v>42</v>
      </c>
      <c r="F155" s="25">
        <v>44731</v>
      </c>
      <c r="G155" s="30">
        <v>70270</v>
      </c>
      <c r="H155" s="9" t="s">
        <v>209</v>
      </c>
      <c r="I155" s="9" t="s">
        <v>207</v>
      </c>
      <c r="J155" s="26">
        <f ca="1">(Calculations!$C$19-Employee_Details[[#This Row],[Date Joined]])/360</f>
        <v>4.3694444444444445</v>
      </c>
      <c r="K155" s="31">
        <f ca="1">IF(Employee_Details[[#This Row],[Tenure]]&gt;4,1.2*Employee_Details[[#This Row],[Salary]],0)</f>
        <v>84324</v>
      </c>
      <c r="L155" s="26">
        <f ca="1">IF(Employee_Details[[#This Row],[Bonus]]&gt;0,1,0)</f>
        <v>1</v>
      </c>
    </row>
    <row r="156" spans="2:12">
      <c r="B156" t="s">
        <v>167</v>
      </c>
      <c r="C156" t="s">
        <v>7</v>
      </c>
      <c r="D156" s="8" t="s">
        <v>24</v>
      </c>
      <c r="E156">
        <v>30</v>
      </c>
      <c r="F156" s="25">
        <v>44789</v>
      </c>
      <c r="G156" s="30">
        <v>69710</v>
      </c>
      <c r="H156" s="9" t="s">
        <v>208</v>
      </c>
      <c r="I156" s="28" t="s">
        <v>212</v>
      </c>
      <c r="J156" s="26">
        <f ca="1">(Calculations!$C$19-Employee_Details[[#This Row],[Date Joined]])/360</f>
        <v>4.208333333333333</v>
      </c>
      <c r="K156" s="31">
        <f ca="1">IF(Employee_Details[[#This Row],[Tenure]]&gt;4,1.2*Employee_Details[[#This Row],[Salary]],0)</f>
        <v>83652</v>
      </c>
      <c r="L156" s="26">
        <f ca="1">IF(Employee_Details[[#This Row],[Bonus]]&gt;0,1,0)</f>
        <v>1</v>
      </c>
    </row>
    <row r="157" spans="2:12">
      <c r="B157" t="s">
        <v>168</v>
      </c>
      <c r="C157" t="s">
        <v>6</v>
      </c>
      <c r="D157" s="8" t="s">
        <v>18</v>
      </c>
      <c r="E157">
        <v>28</v>
      </c>
      <c r="F157" s="25">
        <v>44425</v>
      </c>
      <c r="G157" s="30">
        <v>104770</v>
      </c>
      <c r="H157" s="9" t="s">
        <v>208</v>
      </c>
      <c r="I157" s="28" t="s">
        <v>212</v>
      </c>
      <c r="J157" s="26">
        <f ca="1">(Calculations!$C$19-Employee_Details[[#This Row],[Date Joined]])/360</f>
        <v>5.2194444444444441</v>
      </c>
      <c r="K157" s="31">
        <f ca="1">IF(Employee_Details[[#This Row],[Tenure]]&gt;4,1.2*Employee_Details[[#This Row],[Salary]],0)</f>
        <v>125724</v>
      </c>
      <c r="L157" s="26">
        <f ca="1">IF(Employee_Details[[#This Row],[Bonus]]&gt;0,1,0)</f>
        <v>1</v>
      </c>
    </row>
    <row r="158" spans="2:12">
      <c r="B158" t="s">
        <v>169</v>
      </c>
      <c r="C158" t="s">
        <v>7</v>
      </c>
      <c r="D158" s="8" t="s">
        <v>18</v>
      </c>
      <c r="E158">
        <v>26</v>
      </c>
      <c r="F158" s="25">
        <v>44164</v>
      </c>
      <c r="G158" s="30">
        <v>47360</v>
      </c>
      <c r="H158" s="9" t="s">
        <v>208</v>
      </c>
      <c r="I158" s="28" t="s">
        <v>212</v>
      </c>
      <c r="J158" s="26">
        <f ca="1">(Calculations!$C$19-Employee_Details[[#This Row],[Date Joined]])/360</f>
        <v>5.9444444444444446</v>
      </c>
      <c r="K158" s="31">
        <f ca="1">IF(Employee_Details[[#This Row],[Tenure]]&gt;4,1.2*Employee_Details[[#This Row],[Salary]],0)</f>
        <v>56832</v>
      </c>
      <c r="L158" s="26">
        <f ca="1">IF(Employee_Details[[#This Row],[Bonus]]&gt;0,1,0)</f>
        <v>1</v>
      </c>
    </row>
    <row r="159" spans="2:12">
      <c r="B159" t="s">
        <v>170</v>
      </c>
      <c r="C159" t="s">
        <v>7</v>
      </c>
      <c r="D159" s="8" t="s">
        <v>18</v>
      </c>
      <c r="E159">
        <v>35</v>
      </c>
      <c r="F159" s="25">
        <v>44666</v>
      </c>
      <c r="G159" s="30">
        <v>40400</v>
      </c>
      <c r="H159" s="9" t="s">
        <v>208</v>
      </c>
      <c r="I159" s="28" t="s">
        <v>212</v>
      </c>
      <c r="J159" s="26">
        <f ca="1">(Calculations!$C$19-Employee_Details[[#This Row],[Date Joined]])/360</f>
        <v>4.55</v>
      </c>
      <c r="K159" s="31">
        <f ca="1">IF(Employee_Details[[#This Row],[Tenure]]&gt;4,1.2*Employee_Details[[#This Row],[Salary]],0)</f>
        <v>48480</v>
      </c>
      <c r="L159" s="26">
        <f ca="1">IF(Employee_Details[[#This Row],[Bonus]]&gt;0,1,0)</f>
        <v>1</v>
      </c>
    </row>
    <row r="160" spans="2:12">
      <c r="B160" t="s">
        <v>171</v>
      </c>
      <c r="C160" t="s">
        <v>6</v>
      </c>
      <c r="D160" s="8" t="s">
        <v>18</v>
      </c>
      <c r="E160">
        <v>22</v>
      </c>
      <c r="F160" s="25">
        <v>44388</v>
      </c>
      <c r="G160" s="30">
        <v>76900</v>
      </c>
      <c r="H160" s="9" t="s">
        <v>206</v>
      </c>
      <c r="I160" s="28" t="s">
        <v>212</v>
      </c>
      <c r="J160" s="26">
        <f ca="1">(Calculations!$C$19-Employee_Details[[#This Row],[Date Joined]])/360</f>
        <v>5.322222222222222</v>
      </c>
      <c r="K160" s="31">
        <f ca="1">IF(Employee_Details[[#This Row],[Tenure]]&gt;4,1.2*Employee_Details[[#This Row],[Salary]],0)</f>
        <v>92280</v>
      </c>
      <c r="L160" s="26">
        <f ca="1">IF(Employee_Details[[#This Row],[Bonus]]&gt;0,1,0)</f>
        <v>1</v>
      </c>
    </row>
    <row r="161" spans="2:12">
      <c r="B161" t="s">
        <v>172</v>
      </c>
      <c r="C161" t="s">
        <v>6</v>
      </c>
      <c r="D161" s="8" t="s">
        <v>24</v>
      </c>
      <c r="E161">
        <v>21</v>
      </c>
      <c r="F161" s="25">
        <v>44619</v>
      </c>
      <c r="G161" s="30">
        <v>33920</v>
      </c>
      <c r="H161" s="9" t="s">
        <v>208</v>
      </c>
      <c r="I161" s="28" t="s">
        <v>212</v>
      </c>
      <c r="J161" s="26">
        <f ca="1">(Calculations!$C$19-Employee_Details[[#This Row],[Date Joined]])/360</f>
        <v>4.6805555555555554</v>
      </c>
      <c r="K161" s="31">
        <f ca="1">IF(Employee_Details[[#This Row],[Tenure]]&gt;4,1.2*Employee_Details[[#This Row],[Salary]],0)</f>
        <v>40704</v>
      </c>
      <c r="L161" s="26">
        <f ca="1">IF(Employee_Details[[#This Row],[Bonus]]&gt;0,1,0)</f>
        <v>1</v>
      </c>
    </row>
    <row r="162" spans="2:12">
      <c r="B162" t="s">
        <v>173</v>
      </c>
      <c r="C162" t="s">
        <v>6</v>
      </c>
      <c r="D162" s="8" t="s">
        <v>21</v>
      </c>
      <c r="E162">
        <v>36</v>
      </c>
      <c r="F162" s="25">
        <v>44433</v>
      </c>
      <c r="G162" s="30">
        <v>78540</v>
      </c>
      <c r="H162" s="9" t="s">
        <v>208</v>
      </c>
      <c r="I162" s="28" t="s">
        <v>212</v>
      </c>
      <c r="J162" s="26">
        <f ca="1">(Calculations!$C$19-Employee_Details[[#This Row],[Date Joined]])/360</f>
        <v>5.197222222222222</v>
      </c>
      <c r="K162" s="31">
        <f ca="1">IF(Employee_Details[[#This Row],[Tenure]]&gt;4,1.2*Employee_Details[[#This Row],[Salary]],0)</f>
        <v>94248</v>
      </c>
      <c r="L162" s="26">
        <f ca="1">IF(Employee_Details[[#This Row],[Bonus]]&gt;0,1,0)</f>
        <v>1</v>
      </c>
    </row>
    <row r="163" spans="2:12">
      <c r="B163" t="s">
        <v>174</v>
      </c>
      <c r="C163" t="s">
        <v>6</v>
      </c>
      <c r="D163" s="8" t="s">
        <v>12</v>
      </c>
      <c r="E163">
        <v>33</v>
      </c>
      <c r="F163" s="25">
        <v>44809</v>
      </c>
      <c r="G163" s="30">
        <v>86570</v>
      </c>
      <c r="H163" s="9" t="s">
        <v>208</v>
      </c>
      <c r="I163" s="9" t="s">
        <v>207</v>
      </c>
      <c r="J163" s="26">
        <f ca="1">(Calculations!$C$19-Employee_Details[[#This Row],[Date Joined]])/360</f>
        <v>4.1527777777777777</v>
      </c>
      <c r="K163" s="31">
        <f ca="1">IF(Employee_Details[[#This Row],[Tenure]]&gt;4,1.2*Employee_Details[[#This Row],[Salary]],0)</f>
        <v>103884</v>
      </c>
      <c r="L163" s="26">
        <f ca="1">IF(Employee_Details[[#This Row],[Bonus]]&gt;0,1,0)</f>
        <v>1</v>
      </c>
    </row>
    <row r="164" spans="2:12">
      <c r="B164" t="s">
        <v>175</v>
      </c>
      <c r="C164" t="s">
        <v>7</v>
      </c>
      <c r="D164" s="8" t="s">
        <v>18</v>
      </c>
      <c r="E164">
        <v>40</v>
      </c>
      <c r="F164" s="25">
        <v>44263</v>
      </c>
      <c r="G164" s="30">
        <v>99750</v>
      </c>
      <c r="H164" s="9" t="s">
        <v>208</v>
      </c>
      <c r="I164" s="9" t="s">
        <v>207</v>
      </c>
      <c r="J164" s="26">
        <f ca="1">(Calculations!$C$19-Employee_Details[[#This Row],[Date Joined]])/360</f>
        <v>5.6694444444444443</v>
      </c>
      <c r="K164" s="31">
        <f ca="1">IF(Employee_Details[[#This Row],[Tenure]]&gt;4,1.2*Employee_Details[[#This Row],[Salary]],0)</f>
        <v>119700</v>
      </c>
      <c r="L164" s="26">
        <f ca="1">IF(Employee_Details[[#This Row],[Bonus]]&gt;0,1,0)</f>
        <v>1</v>
      </c>
    </row>
    <row r="165" spans="2:12">
      <c r="B165" t="s">
        <v>176</v>
      </c>
      <c r="C165" t="s">
        <v>6</v>
      </c>
      <c r="D165" s="8" t="s">
        <v>24</v>
      </c>
      <c r="E165">
        <v>29</v>
      </c>
      <c r="F165" s="25">
        <v>43962</v>
      </c>
      <c r="G165" s="30">
        <v>34980</v>
      </c>
      <c r="H165" s="9" t="s">
        <v>208</v>
      </c>
      <c r="I165" s="28" t="s">
        <v>212</v>
      </c>
      <c r="J165" s="26">
        <f ca="1">(Calculations!$C$19-Employee_Details[[#This Row],[Date Joined]])/360</f>
        <v>6.5055555555555555</v>
      </c>
      <c r="K165" s="31">
        <f ca="1">IF(Employee_Details[[#This Row],[Tenure]]&gt;4,1.2*Employee_Details[[#This Row],[Salary]],0)</f>
        <v>41976</v>
      </c>
      <c r="L165" s="26">
        <f ca="1">IF(Employee_Details[[#This Row],[Bonus]]&gt;0,1,0)</f>
        <v>1</v>
      </c>
    </row>
    <row r="166" spans="2:12">
      <c r="B166" t="s">
        <v>177</v>
      </c>
      <c r="C166" t="s">
        <v>6</v>
      </c>
      <c r="D166" s="8" t="s">
        <v>24</v>
      </c>
      <c r="E166">
        <v>33</v>
      </c>
      <c r="F166" s="25">
        <v>44129</v>
      </c>
      <c r="G166" s="30">
        <v>96140</v>
      </c>
      <c r="H166" s="9" t="s">
        <v>208</v>
      </c>
      <c r="I166" s="28" t="s">
        <v>212</v>
      </c>
      <c r="J166" s="26">
        <f ca="1">(Calculations!$C$19-Employee_Details[[#This Row],[Date Joined]])/360</f>
        <v>6.041666666666667</v>
      </c>
      <c r="K166" s="31">
        <f ca="1">IF(Employee_Details[[#This Row],[Tenure]]&gt;4,1.2*Employee_Details[[#This Row],[Salary]],0)</f>
        <v>115368</v>
      </c>
      <c r="L166" s="26">
        <f ca="1">IF(Employee_Details[[#This Row],[Bonus]]&gt;0,1,0)</f>
        <v>1</v>
      </c>
    </row>
    <row r="167" spans="2:12">
      <c r="B167" t="s">
        <v>178</v>
      </c>
      <c r="C167" t="s">
        <v>6</v>
      </c>
      <c r="D167" s="8" t="s">
        <v>12</v>
      </c>
      <c r="E167">
        <v>34</v>
      </c>
      <c r="F167" s="25">
        <v>44397</v>
      </c>
      <c r="G167" s="30">
        <v>85000</v>
      </c>
      <c r="H167" s="9" t="s">
        <v>208</v>
      </c>
      <c r="I167" s="28" t="s">
        <v>212</v>
      </c>
      <c r="J167" s="26">
        <f ca="1">(Calculations!$C$19-Employee_Details[[#This Row],[Date Joined]])/360</f>
        <v>5.2972222222222225</v>
      </c>
      <c r="K167" s="31">
        <f ca="1">IF(Employee_Details[[#This Row],[Tenure]]&gt;4,1.2*Employee_Details[[#This Row],[Salary]],0)</f>
        <v>102000</v>
      </c>
      <c r="L167" s="26">
        <f ca="1">IF(Employee_Details[[#This Row],[Bonus]]&gt;0,1,0)</f>
        <v>1</v>
      </c>
    </row>
    <row r="168" spans="2:12">
      <c r="B168" t="s">
        <v>179</v>
      </c>
      <c r="C168" t="s">
        <v>6</v>
      </c>
      <c r="D168" s="8" t="s">
        <v>21</v>
      </c>
      <c r="E168">
        <v>28</v>
      </c>
      <c r="F168" s="25">
        <v>44357</v>
      </c>
      <c r="G168" s="30">
        <v>53240</v>
      </c>
      <c r="H168" s="9" t="s">
        <v>208</v>
      </c>
      <c r="I168" s="9" t="s">
        <v>207</v>
      </c>
      <c r="J168" s="26">
        <f ca="1">(Calculations!$C$19-Employee_Details[[#This Row],[Date Joined]])/360</f>
        <v>5.4083333333333332</v>
      </c>
      <c r="K168" s="31">
        <f ca="1">IF(Employee_Details[[#This Row],[Tenure]]&gt;4,1.2*Employee_Details[[#This Row],[Salary]],0)</f>
        <v>63888</v>
      </c>
      <c r="L168" s="26">
        <f ca="1">IF(Employee_Details[[#This Row],[Bonus]]&gt;0,1,0)</f>
        <v>1</v>
      </c>
    </row>
    <row r="169" spans="2:12">
      <c r="B169" t="s">
        <v>30</v>
      </c>
      <c r="C169" t="s">
        <v>7</v>
      </c>
      <c r="D169" s="8" t="s">
        <v>24</v>
      </c>
      <c r="E169">
        <v>36</v>
      </c>
      <c r="F169" s="25">
        <v>44019</v>
      </c>
      <c r="G169" s="30">
        <v>118840</v>
      </c>
      <c r="H169" s="9" t="s">
        <v>208</v>
      </c>
      <c r="I169" s="9" t="s">
        <v>207</v>
      </c>
      <c r="J169" s="26">
        <f ca="1">(Calculations!$C$19-Employee_Details[[#This Row],[Date Joined]])/360</f>
        <v>6.3472222222222223</v>
      </c>
      <c r="K169" s="31">
        <f ca="1">IF(Employee_Details[[#This Row],[Tenure]]&gt;4,1.2*Employee_Details[[#This Row],[Salary]],0)</f>
        <v>142608</v>
      </c>
      <c r="L169" s="26">
        <f ca="1">IF(Employee_Details[[#This Row],[Bonus]]&gt;0,1,0)</f>
        <v>1</v>
      </c>
    </row>
    <row r="170" spans="2:12">
      <c r="B170" t="s">
        <v>180</v>
      </c>
      <c r="C170" t="s">
        <v>6</v>
      </c>
      <c r="D170" s="8" t="s">
        <v>12</v>
      </c>
      <c r="E170">
        <v>33</v>
      </c>
      <c r="F170" s="25">
        <v>44067</v>
      </c>
      <c r="G170" s="30">
        <v>65360</v>
      </c>
      <c r="H170" s="9" t="s">
        <v>208</v>
      </c>
      <c r="I170" s="9" t="s">
        <v>207</v>
      </c>
      <c r="J170" s="26">
        <f ca="1">(Calculations!$C$19-Employee_Details[[#This Row],[Date Joined]])/360</f>
        <v>6.2138888888888886</v>
      </c>
      <c r="K170" s="31">
        <f ca="1">IF(Employee_Details[[#This Row],[Tenure]]&gt;4,1.2*Employee_Details[[#This Row],[Salary]],0)</f>
        <v>78432</v>
      </c>
      <c r="L170" s="26">
        <f ca="1">IF(Employee_Details[[#This Row],[Bonus]]&gt;0,1,0)</f>
        <v>1</v>
      </c>
    </row>
    <row r="171" spans="2:12">
      <c r="B171" t="s">
        <v>181</v>
      </c>
      <c r="C171" t="s">
        <v>6</v>
      </c>
      <c r="D171" s="8" t="s">
        <v>24</v>
      </c>
      <c r="E171">
        <v>33</v>
      </c>
      <c r="F171" s="25">
        <v>44190</v>
      </c>
      <c r="G171" s="30">
        <v>96140</v>
      </c>
      <c r="H171" s="9" t="s">
        <v>208</v>
      </c>
      <c r="I171" s="9" t="s">
        <v>207</v>
      </c>
      <c r="J171" s="26">
        <f ca="1">(Calculations!$C$19-Employee_Details[[#This Row],[Date Joined]])/360</f>
        <v>5.8722222222222218</v>
      </c>
      <c r="K171" s="31">
        <f ca="1">IF(Employee_Details[[#This Row],[Tenure]]&gt;4,1.2*Employee_Details[[#This Row],[Salary]],0)</f>
        <v>115368</v>
      </c>
      <c r="L171" s="26">
        <f ca="1">IF(Employee_Details[[#This Row],[Bonus]]&gt;0,1,0)</f>
        <v>1</v>
      </c>
    </row>
    <row r="172" spans="2:12">
      <c r="B172" t="s">
        <v>182</v>
      </c>
      <c r="C172" t="s">
        <v>6</v>
      </c>
      <c r="D172" s="8" t="s">
        <v>18</v>
      </c>
      <c r="E172">
        <v>36</v>
      </c>
      <c r="F172" s="25">
        <v>44085</v>
      </c>
      <c r="G172" s="30">
        <v>114890</v>
      </c>
      <c r="H172" s="9" t="s">
        <v>208</v>
      </c>
      <c r="I172" s="9" t="s">
        <v>207</v>
      </c>
      <c r="J172" s="26">
        <f ca="1">(Calculations!$C$19-Employee_Details[[#This Row],[Date Joined]])/360</f>
        <v>6.1638888888888888</v>
      </c>
      <c r="K172" s="31">
        <f ca="1">IF(Employee_Details[[#This Row],[Tenure]]&gt;4,1.2*Employee_Details[[#This Row],[Salary]],0)</f>
        <v>137868</v>
      </c>
      <c r="L172" s="26">
        <f ca="1">IF(Employee_Details[[#This Row],[Bonus]]&gt;0,1,0)</f>
        <v>1</v>
      </c>
    </row>
    <row r="173" spans="2:12">
      <c r="B173" t="s">
        <v>183</v>
      </c>
      <c r="C173" t="s">
        <v>7</v>
      </c>
      <c r="D173" s="8" t="s">
        <v>18</v>
      </c>
      <c r="E173">
        <v>20</v>
      </c>
      <c r="F173" s="25">
        <v>44683</v>
      </c>
      <c r="G173" s="30">
        <v>79570</v>
      </c>
      <c r="H173" s="9" t="s">
        <v>208</v>
      </c>
      <c r="I173" s="28" t="s">
        <v>212</v>
      </c>
      <c r="J173" s="26">
        <f ca="1">(Calculations!$C$19-Employee_Details[[#This Row],[Date Joined]])/360</f>
        <v>4.5027777777777782</v>
      </c>
      <c r="K173" s="31">
        <f ca="1">IF(Employee_Details[[#This Row],[Tenure]]&gt;4,1.2*Employee_Details[[#This Row],[Salary]],0)</f>
        <v>95484</v>
      </c>
      <c r="L173" s="26">
        <f ca="1">IF(Employee_Details[[#This Row],[Bonus]]&gt;0,1,0)</f>
        <v>1</v>
      </c>
    </row>
    <row r="174" spans="2:12">
      <c r="B174" t="s">
        <v>184</v>
      </c>
      <c r="C174" t="s">
        <v>8</v>
      </c>
      <c r="D174" s="8" t="s">
        <v>12</v>
      </c>
      <c r="E174">
        <v>30</v>
      </c>
      <c r="F174" s="25">
        <v>44535</v>
      </c>
      <c r="G174" s="30">
        <v>64000</v>
      </c>
      <c r="H174" s="9" t="s">
        <v>208</v>
      </c>
      <c r="I174" s="28" t="s">
        <v>212</v>
      </c>
      <c r="J174" s="26">
        <f ca="1">(Calculations!$C$19-Employee_Details[[#This Row],[Date Joined]])/360</f>
        <v>4.9138888888888888</v>
      </c>
      <c r="K174" s="31">
        <f ca="1">IF(Employee_Details[[#This Row],[Tenure]]&gt;4,1.2*Employee_Details[[#This Row],[Salary]],0)</f>
        <v>76800</v>
      </c>
      <c r="L174" s="26">
        <f ca="1">IF(Employee_Details[[#This Row],[Bonus]]&gt;0,1,0)</f>
        <v>1</v>
      </c>
    </row>
    <row r="175" spans="2:12">
      <c r="B175" t="s">
        <v>26</v>
      </c>
      <c r="C175" t="s">
        <v>6</v>
      </c>
      <c r="D175" s="8" t="s">
        <v>15</v>
      </c>
      <c r="E175">
        <v>37</v>
      </c>
      <c r="F175" s="25">
        <v>44451</v>
      </c>
      <c r="G175" s="30">
        <v>118100</v>
      </c>
      <c r="H175" s="9" t="s">
        <v>208</v>
      </c>
      <c r="I175" s="9" t="s">
        <v>207</v>
      </c>
      <c r="J175" s="26">
        <f ca="1">(Calculations!$C$19-Employee_Details[[#This Row],[Date Joined]])/360</f>
        <v>5.1472222222222221</v>
      </c>
      <c r="K175" s="31">
        <f ca="1">IF(Employee_Details[[#This Row],[Tenure]]&gt;4,1.2*Employee_Details[[#This Row],[Salary]],0)</f>
        <v>141720</v>
      </c>
      <c r="L175" s="26">
        <f ca="1">IF(Employee_Details[[#This Row],[Bonus]]&gt;0,1,0)</f>
        <v>1</v>
      </c>
    </row>
    <row r="176" spans="2:12">
      <c r="B176" t="s">
        <v>185</v>
      </c>
      <c r="C176" t="s">
        <v>6</v>
      </c>
      <c r="D176" s="8" t="s">
        <v>24</v>
      </c>
      <c r="E176">
        <v>25</v>
      </c>
      <c r="F176" s="25">
        <v>44694</v>
      </c>
      <c r="G176" s="30">
        <v>80700</v>
      </c>
      <c r="H176" s="9" t="s">
        <v>206</v>
      </c>
      <c r="I176" s="9" t="s">
        <v>207</v>
      </c>
      <c r="J176" s="26">
        <f ca="1">(Calculations!$C$19-Employee_Details[[#This Row],[Date Joined]])/360</f>
        <v>4.4722222222222223</v>
      </c>
      <c r="K176" s="31">
        <f ca="1">IF(Employee_Details[[#This Row],[Tenure]]&gt;4,1.2*Employee_Details[[#This Row],[Salary]],0)</f>
        <v>96840</v>
      </c>
      <c r="L176" s="26">
        <f ca="1">IF(Employee_Details[[#This Row],[Bonus]]&gt;0,1,0)</f>
        <v>1</v>
      </c>
    </row>
    <row r="177" spans="2:12">
      <c r="B177" t="s">
        <v>186</v>
      </c>
      <c r="C177" t="s">
        <v>7</v>
      </c>
      <c r="D177" s="8" t="s">
        <v>12</v>
      </c>
      <c r="E177">
        <v>27</v>
      </c>
      <c r="F177" s="25">
        <v>44506</v>
      </c>
      <c r="G177" s="30">
        <v>48980</v>
      </c>
      <c r="H177" s="9" t="s">
        <v>208</v>
      </c>
      <c r="I177" s="28" t="s">
        <v>212</v>
      </c>
      <c r="J177" s="26">
        <f ca="1">(Calculations!$C$19-Employee_Details[[#This Row],[Date Joined]])/360</f>
        <v>4.9944444444444445</v>
      </c>
      <c r="K177" s="31">
        <f ca="1">IF(Employee_Details[[#This Row],[Tenure]]&gt;4,1.2*Employee_Details[[#This Row],[Salary]],0)</f>
        <v>58776</v>
      </c>
      <c r="L177" s="26">
        <f ca="1">IF(Employee_Details[[#This Row],[Bonus]]&gt;0,1,0)</f>
        <v>1</v>
      </c>
    </row>
    <row r="178" spans="2:12">
      <c r="B178" t="s">
        <v>187</v>
      </c>
      <c r="C178" t="s">
        <v>6</v>
      </c>
      <c r="D178" s="8" t="s">
        <v>18</v>
      </c>
      <c r="E178">
        <v>28</v>
      </c>
      <c r="F178" s="25">
        <v>44571</v>
      </c>
      <c r="G178" s="30">
        <v>99970</v>
      </c>
      <c r="H178" s="9" t="s">
        <v>208</v>
      </c>
      <c r="I178" s="28" t="s">
        <v>212</v>
      </c>
      <c r="J178" s="26">
        <f ca="1">(Calculations!$C$19-Employee_Details[[#This Row],[Date Joined]])/360</f>
        <v>4.8138888888888891</v>
      </c>
      <c r="K178" s="31">
        <f ca="1">IF(Employee_Details[[#This Row],[Tenure]]&gt;4,1.2*Employee_Details[[#This Row],[Salary]],0)</f>
        <v>119964</v>
      </c>
      <c r="L178" s="26">
        <f ca="1">IF(Employee_Details[[#This Row],[Bonus]]&gt;0,1,0)</f>
        <v>1</v>
      </c>
    </row>
    <row r="179" spans="2:12">
      <c r="B179" t="s">
        <v>188</v>
      </c>
      <c r="C179" t="s">
        <v>6</v>
      </c>
      <c r="D179" s="8" t="s">
        <v>24</v>
      </c>
      <c r="E179">
        <v>24</v>
      </c>
      <c r="F179" s="25">
        <v>44148</v>
      </c>
      <c r="G179" s="30">
        <v>62780</v>
      </c>
      <c r="H179" s="9" t="s">
        <v>208</v>
      </c>
      <c r="I179" s="9" t="s">
        <v>207</v>
      </c>
      <c r="J179" s="26">
        <f ca="1">(Calculations!$C$19-Employee_Details[[#This Row],[Date Joined]])/360</f>
        <v>5.9888888888888889</v>
      </c>
      <c r="K179" s="31">
        <f ca="1">IF(Employee_Details[[#This Row],[Tenure]]&gt;4,1.2*Employee_Details[[#This Row],[Salary]],0)</f>
        <v>75336</v>
      </c>
      <c r="L179" s="26">
        <f ca="1">IF(Employee_Details[[#This Row],[Bonus]]&gt;0,1,0)</f>
        <v>1</v>
      </c>
    </row>
    <row r="180" spans="2:12">
      <c r="B180" t="s">
        <v>189</v>
      </c>
      <c r="C180" t="s">
        <v>7</v>
      </c>
      <c r="D180" s="8" t="s">
        <v>18</v>
      </c>
      <c r="E180">
        <v>19</v>
      </c>
      <c r="F180" s="25">
        <v>44218</v>
      </c>
      <c r="G180" s="30">
        <v>58960</v>
      </c>
      <c r="H180" s="9" t="s">
        <v>208</v>
      </c>
      <c r="I180" s="28" t="s">
        <v>212</v>
      </c>
      <c r="J180" s="26">
        <f ca="1">(Calculations!$C$19-Employee_Details[[#This Row],[Date Joined]])/360</f>
        <v>5.7944444444444443</v>
      </c>
      <c r="K180" s="31">
        <f ca="1">IF(Employee_Details[[#This Row],[Tenure]]&gt;4,1.2*Employee_Details[[#This Row],[Salary]],0)</f>
        <v>70752</v>
      </c>
      <c r="L180" s="26">
        <f ca="1">IF(Employee_Details[[#This Row],[Bonus]]&gt;0,1,0)</f>
        <v>1</v>
      </c>
    </row>
    <row r="181" spans="2:12">
      <c r="B181" t="s">
        <v>190</v>
      </c>
      <c r="C181" t="s">
        <v>6</v>
      </c>
      <c r="D181" s="8" t="s">
        <v>21</v>
      </c>
      <c r="E181">
        <v>34</v>
      </c>
      <c r="F181" s="25">
        <v>44721</v>
      </c>
      <c r="G181" s="30">
        <v>49630</v>
      </c>
      <c r="H181" s="9" t="s">
        <v>209</v>
      </c>
      <c r="I181" s="9" t="s">
        <v>207</v>
      </c>
      <c r="J181" s="26">
        <f ca="1">(Calculations!$C$19-Employee_Details[[#This Row],[Date Joined]])/360</f>
        <v>4.3972222222222221</v>
      </c>
      <c r="K181" s="31">
        <f ca="1">IF(Employee_Details[[#This Row],[Tenure]]&gt;4,1.2*Employee_Details[[#This Row],[Salary]],0)</f>
        <v>59556</v>
      </c>
      <c r="L181" s="26">
        <f ca="1">IF(Employee_Details[[#This Row],[Bonus]]&gt;0,1,0)</f>
        <v>1</v>
      </c>
    </row>
    <row r="182" spans="2:12">
      <c r="B182" t="s">
        <v>191</v>
      </c>
      <c r="C182" t="s">
        <v>6</v>
      </c>
      <c r="D182" s="8" t="s">
        <v>18</v>
      </c>
      <c r="E182">
        <v>22</v>
      </c>
      <c r="F182" s="25">
        <v>44450</v>
      </c>
      <c r="G182" s="30">
        <v>76900</v>
      </c>
      <c r="H182" s="9" t="s">
        <v>206</v>
      </c>
      <c r="I182" s="9" t="s">
        <v>207</v>
      </c>
      <c r="J182" s="26">
        <f ca="1">(Calculations!$C$19-Employee_Details[[#This Row],[Date Joined]])/360</f>
        <v>5.15</v>
      </c>
      <c r="K182" s="31">
        <f ca="1">IF(Employee_Details[[#This Row],[Tenure]]&gt;4,1.2*Employee_Details[[#This Row],[Salary]],0)</f>
        <v>92280</v>
      </c>
      <c r="L182" s="26">
        <f ca="1">IF(Employee_Details[[#This Row],[Bonus]]&gt;0,1,0)</f>
        <v>1</v>
      </c>
    </row>
    <row r="183" spans="2:12">
      <c r="B183" t="s">
        <v>192</v>
      </c>
      <c r="C183" t="s">
        <v>7</v>
      </c>
      <c r="D183" s="8" t="s">
        <v>21</v>
      </c>
      <c r="E183">
        <v>43</v>
      </c>
      <c r="F183" s="25">
        <v>44558</v>
      </c>
      <c r="G183" s="30">
        <v>36040</v>
      </c>
      <c r="H183" s="9" t="s">
        <v>208</v>
      </c>
      <c r="I183" s="28" t="s">
        <v>212</v>
      </c>
      <c r="J183" s="26">
        <f ca="1">(Calculations!$C$19-Employee_Details[[#This Row],[Date Joined]])/360</f>
        <v>4.8499999999999996</v>
      </c>
      <c r="K183" s="31">
        <f ca="1">IF(Employee_Details[[#This Row],[Tenure]]&gt;4,1.2*Employee_Details[[#This Row],[Salary]],0)</f>
        <v>43248</v>
      </c>
      <c r="L183" s="26">
        <f ca="1">IF(Employee_Details[[#This Row],[Bonus]]&gt;0,1,0)</f>
        <v>1</v>
      </c>
    </row>
    <row r="184" spans="2:12">
      <c r="B184" t="s">
        <v>193</v>
      </c>
      <c r="C184" t="s">
        <v>7</v>
      </c>
      <c r="D184" s="8" t="s">
        <v>24</v>
      </c>
      <c r="E184">
        <v>33</v>
      </c>
      <c r="F184" s="25">
        <v>44509</v>
      </c>
      <c r="G184" s="30">
        <v>53870</v>
      </c>
      <c r="H184" s="9" t="s">
        <v>208</v>
      </c>
      <c r="I184" s="9" t="s">
        <v>207</v>
      </c>
      <c r="J184" s="26">
        <f ca="1">(Calculations!$C$19-Employee_Details[[#This Row],[Date Joined]])/360</f>
        <v>4.9861111111111107</v>
      </c>
      <c r="K184" s="31">
        <f ca="1">IF(Employee_Details[[#This Row],[Tenure]]&gt;4,1.2*Employee_Details[[#This Row],[Salary]],0)</f>
        <v>64644</v>
      </c>
      <c r="L184" s="26">
        <f ca="1">IF(Employee_Details[[#This Row],[Bonus]]&gt;0,1,0)</f>
        <v>1</v>
      </c>
    </row>
    <row r="185" spans="2:12">
      <c r="B185" t="s">
        <v>194</v>
      </c>
      <c r="C185" t="s">
        <v>6</v>
      </c>
      <c r="D185" s="8" t="s">
        <v>24</v>
      </c>
      <c r="E185">
        <v>43</v>
      </c>
      <c r="F185" s="25">
        <v>45045</v>
      </c>
      <c r="G185" s="30">
        <v>114870</v>
      </c>
      <c r="H185" s="9" t="s">
        <v>208</v>
      </c>
      <c r="I185" s="9" t="s">
        <v>207</v>
      </c>
      <c r="J185" s="26">
        <f ca="1">(Calculations!$C$19-Employee_Details[[#This Row],[Date Joined]])/360</f>
        <v>3.4972222222222222</v>
      </c>
      <c r="K185" s="31">
        <f ca="1">IF(Employee_Details[[#This Row],[Tenure]]&gt;4,1.2*Employee_Details[[#This Row],[Salary]],0)</f>
        <v>0</v>
      </c>
      <c r="L185" s="26">
        <f ca="1">IF(Employee_Details[[#This Row],[Bonus]]&gt;0,1,0)</f>
        <v>0</v>
      </c>
    </row>
    <row r="186" spans="2:12">
      <c r="B186" t="s">
        <v>195</v>
      </c>
      <c r="C186" t="s">
        <v>6</v>
      </c>
      <c r="D186" s="8" t="s">
        <v>24</v>
      </c>
      <c r="E186">
        <v>32</v>
      </c>
      <c r="F186" s="25">
        <v>44293</v>
      </c>
      <c r="G186" s="30">
        <v>43840</v>
      </c>
      <c r="H186" s="9" t="s">
        <v>206</v>
      </c>
      <c r="I186" s="28" t="s">
        <v>212</v>
      </c>
      <c r="J186" s="26">
        <f ca="1">(Calculations!$C$19-Employee_Details[[#This Row],[Date Joined]])/360</f>
        <v>5.5861111111111112</v>
      </c>
      <c r="K186" s="31">
        <f ca="1">IF(Employee_Details[[#This Row],[Tenure]]&gt;4,1.2*Employee_Details[[#This Row],[Salary]],0)</f>
        <v>52608</v>
      </c>
      <c r="L186" s="26">
        <f ca="1">IF(Employee_Details[[#This Row],[Bonus]]&gt;0,1,0)</f>
        <v>1</v>
      </c>
    </row>
    <row r="187" spans="2:12">
      <c r="B187" t="s">
        <v>196</v>
      </c>
      <c r="C187" t="s">
        <v>7</v>
      </c>
      <c r="D187" s="8" t="s">
        <v>21</v>
      </c>
      <c r="E187">
        <v>33</v>
      </c>
      <c r="F187" s="25">
        <v>44324</v>
      </c>
      <c r="G187" s="30">
        <v>74550</v>
      </c>
      <c r="H187" s="9" t="s">
        <v>208</v>
      </c>
      <c r="I187" s="28" t="s">
        <v>212</v>
      </c>
      <c r="J187" s="26">
        <f ca="1">(Calculations!$C$19-Employee_Details[[#This Row],[Date Joined]])/360</f>
        <v>5.5</v>
      </c>
      <c r="K187" s="31">
        <f ca="1">IF(Employee_Details[[#This Row],[Tenure]]&gt;4,1.2*Employee_Details[[#This Row],[Salary]],0)</f>
        <v>89460</v>
      </c>
      <c r="L187" s="26">
        <f ca="1">IF(Employee_Details[[#This Row],[Bonus]]&gt;0,1,0)</f>
        <v>1</v>
      </c>
    </row>
    <row r="188" spans="2:12">
      <c r="B188" t="s">
        <v>197</v>
      </c>
      <c r="C188" t="s">
        <v>7</v>
      </c>
      <c r="D188" s="8" t="s">
        <v>18</v>
      </c>
      <c r="E188">
        <v>26</v>
      </c>
      <c r="F188" s="25">
        <v>44411</v>
      </c>
      <c r="G188" s="30">
        <v>53540</v>
      </c>
      <c r="H188" s="9" t="s">
        <v>208</v>
      </c>
      <c r="I188" s="9" t="s">
        <v>207</v>
      </c>
      <c r="J188" s="26">
        <f ca="1">(Calculations!$C$19-Employee_Details[[#This Row],[Date Joined]])/360</f>
        <v>5.2583333333333337</v>
      </c>
      <c r="K188" s="31">
        <f ca="1">IF(Employee_Details[[#This Row],[Tenure]]&gt;4,1.2*Employee_Details[[#This Row],[Salary]],0)</f>
        <v>64248</v>
      </c>
      <c r="L188" s="26">
        <f ca="1">IF(Employee_Details[[#This Row],[Bonus]]&gt;0,1,0)</f>
        <v>1</v>
      </c>
    </row>
    <row r="189" spans="2:12">
      <c r="C189">
        <f>SUBTOTAL(103,C6:C188)</f>
        <v>183</v>
      </c>
      <c r="E189">
        <f>SUBTOTAL(101,E6:E188)</f>
        <v>30.42622950819672</v>
      </c>
      <c r="F189" s="25"/>
      <c r="G189" s="30">
        <f>SUBTOTAL(101,Employee_Details[Salary])</f>
        <v>77173.715846994543</v>
      </c>
      <c r="H189" s="28">
        <f>SUBTOTAL(103,Employee_Details[Rating])</f>
        <v>183</v>
      </c>
      <c r="I189" s="28"/>
      <c r="J189" s="26"/>
      <c r="K189" s="27">
        <f ca="1">SUBTOTAL(101,Employee_Details[Bonus])</f>
        <v>91101.967213114753</v>
      </c>
    </row>
  </sheetData>
  <mergeCells count="1">
    <mergeCell ref="M2:P3"/>
  </mergeCells>
  <phoneticPr fontId="3" type="noConversion"/>
  <conditionalFormatting sqref="B6:B96">
    <cfRule type="duplicateValues" dxfId="5" priority="6"/>
  </conditionalFormatting>
  <conditionalFormatting sqref="B97:B188">
    <cfRule type="duplicateValues" dxfId="4" priority="1"/>
  </conditionalFormatting>
  <conditionalFormatting sqref="F104">
    <cfRule type="duplicateValues" dxfId="3" priority="2"/>
  </conditionalFormatting>
  <dataValidations count="1">
    <dataValidation type="list" allowBlank="1" showInputMessage="1" showErrorMessage="1" sqref="B3" xr:uid="{00000000-0002-0000-0200-000000000000}">
      <formula1>$B$6:$B$188</formula1>
    </dataValidation>
  </dataValidations>
  <pageMargins left="0.7" right="0.7" top="0.75" bottom="0.75" header="0.3" footer="0.3"/>
  <pageSetup paperSize="9" orientation="portrait" horizontalDpi="0"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C19"/>
  <sheetViews>
    <sheetView workbookViewId="0">
      <selection activeCell="C19" sqref="C19"/>
    </sheetView>
  </sheetViews>
  <sheetFormatPr defaultColWidth="9" defaultRowHeight="14.4"/>
  <cols>
    <col min="2" max="2" width="34.44140625" bestFit="1" customWidth="1"/>
    <col min="3" max="3" width="10.5546875" bestFit="1" customWidth="1"/>
  </cols>
  <sheetData>
    <row r="1" spans="2:3" ht="9.6" customHeight="1" thickBot="1"/>
    <row r="2" spans="2:3" ht="15" thickBot="1">
      <c r="B2" s="100" t="s">
        <v>233</v>
      </c>
      <c r="C2" s="101"/>
    </row>
    <row r="3" spans="2:3">
      <c r="B3" s="39" t="s">
        <v>213</v>
      </c>
      <c r="C3" s="42">
        <f>COUNTA(Employee_Details[Gender])</f>
        <v>183</v>
      </c>
    </row>
    <row r="4" spans="2:3">
      <c r="B4" s="40" t="s">
        <v>214</v>
      </c>
      <c r="C4" s="43">
        <f>AVERAGE(Employee_Details[Salary])</f>
        <v>77173.715846994543</v>
      </c>
    </row>
    <row r="5" spans="2:3">
      <c r="B5" s="40" t="s">
        <v>215</v>
      </c>
      <c r="C5" s="43">
        <f>MEDIAN(Employee_Details[Salary])</f>
        <v>75000</v>
      </c>
    </row>
    <row r="6" spans="2:3">
      <c r="B6" s="40" t="s">
        <v>216</v>
      </c>
      <c r="C6" s="44">
        <f>AVERAGE(Employee_Details[Age])</f>
        <v>30.42622950819672</v>
      </c>
    </row>
    <row r="7" spans="2:3">
      <c r="B7" s="40" t="s">
        <v>217</v>
      </c>
      <c r="C7" s="41">
        <f>COUNTIF(Employee_Details[Gender],'Cleaned Data'!C6)</f>
        <v>89</v>
      </c>
    </row>
    <row r="8" spans="2:3">
      <c r="B8" s="40" t="s">
        <v>218</v>
      </c>
      <c r="C8" s="41">
        <f>COUNTIF(Employee_Details[Gender],'Cleaned Data'!C8)</f>
        <v>86</v>
      </c>
    </row>
    <row r="9" spans="2:3">
      <c r="B9" s="40" t="s">
        <v>219</v>
      </c>
      <c r="C9" s="45">
        <f>C8/(C7)</f>
        <v>0.9662921348314607</v>
      </c>
    </row>
    <row r="10" spans="2:3">
      <c r="B10" s="96" t="s">
        <v>234</v>
      </c>
      <c r="C10" s="98">
        <f>COUNTIFS(Employee_Details[Salary],"&lt;"&amp;'Cleaned Data'!G189)</f>
        <v>102</v>
      </c>
    </row>
    <row r="11" spans="2:3" ht="15" thickBot="1">
      <c r="B11" s="97"/>
      <c r="C11" s="99"/>
    </row>
    <row r="19" spans="2:3">
      <c r="B19" t="s">
        <v>220</v>
      </c>
      <c r="C19" s="7">
        <f ca="1">TODAY()</f>
        <v>46304</v>
      </c>
    </row>
  </sheetData>
  <mergeCells count="3">
    <mergeCell ref="B10:B11"/>
    <mergeCell ref="C10:C11"/>
    <mergeCell ref="B2:C2"/>
  </mergeCells>
  <phoneticPr fontId="3" type="noConversion"/>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C1:J93"/>
  <sheetViews>
    <sheetView showGridLines="0" workbookViewId="0">
      <selection activeCell="M11" sqref="M11"/>
    </sheetView>
  </sheetViews>
  <sheetFormatPr defaultColWidth="9" defaultRowHeight="13.5" customHeight="1"/>
  <cols>
    <col min="1" max="1" width="1.77734375" customWidth="1"/>
    <col min="2" max="2" width="3.77734375" customWidth="1"/>
    <col min="3" max="3" width="39" customWidth="1"/>
    <col min="4" max="4" width="7.44140625" customWidth="1"/>
    <col min="5" max="5" width="12.44140625" customWidth="1"/>
    <col min="6" max="6" width="4.6640625" customWidth="1"/>
    <col min="7" max="7" width="14.109375" customWidth="1"/>
    <col min="8" max="8" width="11.44140625" customWidth="1"/>
    <col min="9" max="9" width="12.44140625" customWidth="1"/>
    <col min="10" max="10" width="10.6640625" customWidth="1"/>
  </cols>
  <sheetData>
    <row r="1" spans="3:10" ht="13.5" customHeight="1">
      <c r="C1">
        <v>1</v>
      </c>
      <c r="D1">
        <v>2</v>
      </c>
      <c r="E1">
        <v>3</v>
      </c>
      <c r="F1">
        <v>4</v>
      </c>
      <c r="G1">
        <v>6</v>
      </c>
      <c r="H1">
        <v>7</v>
      </c>
      <c r="I1">
        <v>5</v>
      </c>
      <c r="J1">
        <v>8</v>
      </c>
    </row>
    <row r="2" spans="3:10" ht="13.5" customHeight="1">
      <c r="C2" s="4" t="s">
        <v>1</v>
      </c>
      <c r="D2" s="4" t="s">
        <v>0</v>
      </c>
      <c r="E2" s="4" t="s">
        <v>5</v>
      </c>
      <c r="F2" s="4" t="s">
        <v>2</v>
      </c>
      <c r="G2" s="4" t="s">
        <v>201</v>
      </c>
      <c r="H2" s="5" t="s">
        <v>199</v>
      </c>
      <c r="I2" s="4" t="s">
        <v>200</v>
      </c>
      <c r="J2" t="s">
        <v>202</v>
      </c>
    </row>
    <row r="3" spans="3:10" ht="13.5" customHeight="1">
      <c r="C3" t="s">
        <v>120</v>
      </c>
      <c r="D3" t="s">
        <v>7</v>
      </c>
      <c r="E3" t="s">
        <v>21</v>
      </c>
      <c r="F3">
        <v>22</v>
      </c>
      <c r="G3" t="s">
        <v>206</v>
      </c>
      <c r="H3" s="1">
        <v>44446</v>
      </c>
      <c r="I3" s="3">
        <v>112780</v>
      </c>
      <c r="J3" t="s">
        <v>207</v>
      </c>
    </row>
    <row r="4" spans="3:10" ht="13.5" customHeight="1">
      <c r="C4" t="s">
        <v>29</v>
      </c>
      <c r="D4" t="s">
        <v>7</v>
      </c>
      <c r="E4" t="s">
        <v>18</v>
      </c>
      <c r="F4">
        <v>46</v>
      </c>
      <c r="G4" t="s">
        <v>208</v>
      </c>
      <c r="H4" s="1">
        <v>44758</v>
      </c>
      <c r="I4" s="3">
        <v>70610</v>
      </c>
      <c r="J4" t="s">
        <v>207</v>
      </c>
    </row>
    <row r="5" spans="3:10" ht="13.5" customHeight="1">
      <c r="C5" t="s">
        <v>179</v>
      </c>
      <c r="D5" t="s">
        <v>6</v>
      </c>
      <c r="E5" t="s">
        <v>21</v>
      </c>
      <c r="F5">
        <v>28</v>
      </c>
      <c r="G5" t="s">
        <v>208</v>
      </c>
      <c r="H5" s="1">
        <v>44357</v>
      </c>
      <c r="I5" s="3">
        <v>53240</v>
      </c>
      <c r="J5" t="s">
        <v>207</v>
      </c>
    </row>
    <row r="6" spans="3:10" ht="13.5" customHeight="1">
      <c r="C6" t="s">
        <v>11</v>
      </c>
      <c r="D6" t="s">
        <v>8</v>
      </c>
      <c r="E6" t="s">
        <v>12</v>
      </c>
      <c r="F6">
        <v>37</v>
      </c>
      <c r="G6" t="s">
        <v>209</v>
      </c>
      <c r="H6" s="1">
        <v>44146</v>
      </c>
      <c r="I6" s="3">
        <v>115440</v>
      </c>
      <c r="J6" t="s">
        <v>207</v>
      </c>
    </row>
    <row r="7" spans="3:10" ht="13.5" customHeight="1">
      <c r="C7" t="s">
        <v>90</v>
      </c>
      <c r="D7" t="s">
        <v>7</v>
      </c>
      <c r="E7" t="s">
        <v>21</v>
      </c>
      <c r="F7">
        <v>32</v>
      </c>
      <c r="G7" t="s">
        <v>208</v>
      </c>
      <c r="H7" s="1">
        <v>44465</v>
      </c>
      <c r="I7" s="3">
        <v>53540</v>
      </c>
      <c r="J7" t="s">
        <v>207</v>
      </c>
    </row>
    <row r="8" spans="3:10" ht="13.5" customHeight="1">
      <c r="C8" t="s">
        <v>86</v>
      </c>
      <c r="D8" t="s">
        <v>6</v>
      </c>
      <c r="E8" t="s">
        <v>18</v>
      </c>
      <c r="F8">
        <v>30</v>
      </c>
      <c r="G8" t="s">
        <v>208</v>
      </c>
      <c r="H8" s="1">
        <v>44861</v>
      </c>
      <c r="I8" s="3">
        <v>112570</v>
      </c>
      <c r="J8" t="s">
        <v>207</v>
      </c>
    </row>
    <row r="9" spans="3:10" ht="13.5" customHeight="1">
      <c r="C9" t="s">
        <v>74</v>
      </c>
      <c r="D9" t="s">
        <v>7</v>
      </c>
      <c r="E9" t="s">
        <v>18</v>
      </c>
      <c r="F9">
        <v>33</v>
      </c>
      <c r="G9" t="s">
        <v>206</v>
      </c>
      <c r="H9" s="1">
        <v>44701</v>
      </c>
      <c r="I9" s="3">
        <v>48530</v>
      </c>
      <c r="J9" t="s">
        <v>207</v>
      </c>
    </row>
    <row r="10" spans="3:10" ht="13.5" customHeight="1">
      <c r="C10" t="s">
        <v>188</v>
      </c>
      <c r="D10" t="s">
        <v>6</v>
      </c>
      <c r="E10" t="s">
        <v>24</v>
      </c>
      <c r="F10">
        <v>24</v>
      </c>
      <c r="G10" t="s">
        <v>208</v>
      </c>
      <c r="H10" s="1">
        <v>44148</v>
      </c>
      <c r="I10" s="3">
        <v>62780</v>
      </c>
      <c r="J10" t="s">
        <v>207</v>
      </c>
    </row>
    <row r="11" spans="3:10" ht="13.5" customHeight="1">
      <c r="C11" t="s">
        <v>193</v>
      </c>
      <c r="D11" t="s">
        <v>7</v>
      </c>
      <c r="E11" t="s">
        <v>24</v>
      </c>
      <c r="F11">
        <v>33</v>
      </c>
      <c r="G11" t="s">
        <v>208</v>
      </c>
      <c r="H11" s="1">
        <v>44509</v>
      </c>
      <c r="I11" s="3">
        <v>53870</v>
      </c>
      <c r="J11" t="s">
        <v>207</v>
      </c>
    </row>
    <row r="12" spans="3:10" ht="13.5" customHeight="1">
      <c r="C12" t="s">
        <v>34</v>
      </c>
      <c r="D12" t="s">
        <v>6</v>
      </c>
      <c r="E12" t="s">
        <v>15</v>
      </c>
      <c r="F12">
        <v>27</v>
      </c>
      <c r="G12" t="s">
        <v>208</v>
      </c>
      <c r="H12" s="1">
        <v>44122</v>
      </c>
      <c r="I12" s="3">
        <v>119110</v>
      </c>
      <c r="J12" t="s">
        <v>207</v>
      </c>
    </row>
    <row r="13" spans="3:10" ht="13.5" customHeight="1">
      <c r="C13" t="s">
        <v>45</v>
      </c>
      <c r="D13" t="s">
        <v>7</v>
      </c>
      <c r="E13" t="s">
        <v>24</v>
      </c>
      <c r="F13">
        <v>29</v>
      </c>
      <c r="G13" t="s">
        <v>209</v>
      </c>
      <c r="H13" s="1">
        <v>44180</v>
      </c>
      <c r="I13" s="3">
        <v>112110</v>
      </c>
      <c r="J13" t="s">
        <v>207</v>
      </c>
    </row>
    <row r="14" spans="3:10" ht="13.5" customHeight="1">
      <c r="C14" t="s">
        <v>107</v>
      </c>
      <c r="D14" t="s">
        <v>7</v>
      </c>
      <c r="E14" t="s">
        <v>21</v>
      </c>
      <c r="F14">
        <v>25</v>
      </c>
      <c r="G14" t="s">
        <v>208</v>
      </c>
      <c r="H14" s="1">
        <v>44383</v>
      </c>
      <c r="I14" s="3">
        <v>65700</v>
      </c>
      <c r="J14" t="s">
        <v>207</v>
      </c>
    </row>
    <row r="15" spans="3:10" ht="13.5" customHeight="1">
      <c r="C15" t="s">
        <v>136</v>
      </c>
      <c r="D15" t="s">
        <v>7</v>
      </c>
      <c r="E15" t="s">
        <v>24</v>
      </c>
      <c r="F15">
        <v>37</v>
      </c>
      <c r="G15" t="s">
        <v>208</v>
      </c>
      <c r="H15" s="1">
        <v>44701</v>
      </c>
      <c r="I15" s="3">
        <v>69070</v>
      </c>
      <c r="J15" t="s">
        <v>207</v>
      </c>
    </row>
    <row r="16" spans="3:10" ht="13.5" customHeight="1">
      <c r="C16" t="s">
        <v>101</v>
      </c>
      <c r="D16" t="s">
        <v>7</v>
      </c>
      <c r="E16" t="s">
        <v>24</v>
      </c>
      <c r="F16">
        <v>20</v>
      </c>
      <c r="G16" t="s">
        <v>208</v>
      </c>
      <c r="H16" s="1">
        <v>44459</v>
      </c>
      <c r="I16" s="3">
        <v>107700</v>
      </c>
      <c r="J16" t="s">
        <v>207</v>
      </c>
    </row>
    <row r="17" spans="3:10" ht="13.5" customHeight="1">
      <c r="C17" t="s">
        <v>106</v>
      </c>
      <c r="D17" t="s">
        <v>6</v>
      </c>
      <c r="E17" t="s">
        <v>24</v>
      </c>
      <c r="F17">
        <v>32</v>
      </c>
      <c r="G17" t="s">
        <v>206</v>
      </c>
      <c r="H17" s="1">
        <v>44354</v>
      </c>
      <c r="I17" s="3">
        <v>43840</v>
      </c>
      <c r="J17" t="s">
        <v>207</v>
      </c>
    </row>
    <row r="18" spans="3:10" ht="13.5" customHeight="1">
      <c r="C18" t="s">
        <v>175</v>
      </c>
      <c r="D18" t="s">
        <v>7</v>
      </c>
      <c r="E18" t="s">
        <v>18</v>
      </c>
      <c r="F18">
        <v>40</v>
      </c>
      <c r="G18" t="s">
        <v>208</v>
      </c>
      <c r="H18" s="1">
        <v>44263</v>
      </c>
      <c r="I18" s="3">
        <v>99750</v>
      </c>
      <c r="J18" t="s">
        <v>207</v>
      </c>
    </row>
    <row r="19" spans="3:10" ht="13.5" customHeight="1">
      <c r="C19" t="s">
        <v>144</v>
      </c>
      <c r="D19" t="s">
        <v>7</v>
      </c>
      <c r="E19" t="s">
        <v>18</v>
      </c>
      <c r="F19">
        <v>21</v>
      </c>
      <c r="G19" t="s">
        <v>208</v>
      </c>
      <c r="H19" s="1">
        <v>44104</v>
      </c>
      <c r="I19" s="3">
        <v>37920</v>
      </c>
      <c r="J19" t="s">
        <v>207</v>
      </c>
    </row>
    <row r="20" spans="3:10" ht="13.5" customHeight="1">
      <c r="C20" t="s">
        <v>109</v>
      </c>
      <c r="D20" t="s">
        <v>7</v>
      </c>
      <c r="E20" t="s">
        <v>18</v>
      </c>
      <c r="F20">
        <v>21</v>
      </c>
      <c r="G20" t="s">
        <v>208</v>
      </c>
      <c r="H20" s="1">
        <v>44762</v>
      </c>
      <c r="I20" s="3">
        <v>57090</v>
      </c>
      <c r="J20" t="s">
        <v>207</v>
      </c>
    </row>
    <row r="21" spans="3:10" ht="13.5" customHeight="1">
      <c r="C21" t="s">
        <v>68</v>
      </c>
      <c r="D21" t="s">
        <v>6</v>
      </c>
      <c r="E21" t="s">
        <v>24</v>
      </c>
      <c r="F21">
        <v>31</v>
      </c>
      <c r="G21" t="s">
        <v>208</v>
      </c>
      <c r="H21" s="1">
        <v>44145</v>
      </c>
      <c r="I21" s="3">
        <v>41980</v>
      </c>
      <c r="J21" t="s">
        <v>207</v>
      </c>
    </row>
    <row r="22" spans="3:10" ht="13.5" customHeight="1">
      <c r="C22" t="s">
        <v>164</v>
      </c>
      <c r="D22" t="s">
        <v>7</v>
      </c>
      <c r="E22" t="s">
        <v>15</v>
      </c>
      <c r="F22">
        <v>21</v>
      </c>
      <c r="G22" t="s">
        <v>208</v>
      </c>
      <c r="H22" s="1">
        <v>44242</v>
      </c>
      <c r="I22" s="3">
        <v>75880</v>
      </c>
      <c r="J22" t="s">
        <v>207</v>
      </c>
    </row>
    <row r="23" spans="3:10" ht="13.5" customHeight="1">
      <c r="C23" t="s">
        <v>142</v>
      </c>
      <c r="D23" t="s">
        <v>6</v>
      </c>
      <c r="E23" t="s">
        <v>12</v>
      </c>
      <c r="F23">
        <v>34</v>
      </c>
      <c r="G23" t="s">
        <v>208</v>
      </c>
      <c r="H23" s="1">
        <v>44653</v>
      </c>
      <c r="I23" s="3">
        <v>58940</v>
      </c>
      <c r="J23" t="s">
        <v>207</v>
      </c>
    </row>
    <row r="24" spans="3:10" ht="13.5" customHeight="1">
      <c r="C24" t="s">
        <v>92</v>
      </c>
      <c r="D24" t="s">
        <v>6</v>
      </c>
      <c r="E24" t="s">
        <v>12</v>
      </c>
      <c r="F24">
        <v>30</v>
      </c>
      <c r="G24" t="s">
        <v>209</v>
      </c>
      <c r="H24" s="1">
        <v>44389</v>
      </c>
      <c r="I24" s="3">
        <v>67910</v>
      </c>
      <c r="J24" t="s">
        <v>207</v>
      </c>
    </row>
    <row r="25" spans="3:10" ht="13.5" customHeight="1">
      <c r="C25" t="s">
        <v>49</v>
      </c>
      <c r="D25" t="s">
        <v>6</v>
      </c>
      <c r="E25" t="s">
        <v>24</v>
      </c>
      <c r="F25">
        <v>31</v>
      </c>
      <c r="G25" t="s">
        <v>208</v>
      </c>
      <c r="H25" s="1">
        <v>44663</v>
      </c>
      <c r="I25" s="3">
        <v>58100</v>
      </c>
      <c r="J25" t="s">
        <v>207</v>
      </c>
    </row>
    <row r="26" spans="3:10" ht="13.5" customHeight="1">
      <c r="C26" t="s">
        <v>75</v>
      </c>
      <c r="D26" t="s">
        <v>7</v>
      </c>
      <c r="E26" t="s">
        <v>12</v>
      </c>
      <c r="F26">
        <v>27</v>
      </c>
      <c r="G26" t="s">
        <v>208</v>
      </c>
      <c r="H26" s="1">
        <v>44567</v>
      </c>
      <c r="I26" s="3">
        <v>48980</v>
      </c>
      <c r="J26" t="s">
        <v>207</v>
      </c>
    </row>
    <row r="27" spans="3:10" ht="13.5" customHeight="1">
      <c r="C27" t="s">
        <v>59</v>
      </c>
      <c r="D27" t="s">
        <v>8</v>
      </c>
      <c r="E27" t="s">
        <v>12</v>
      </c>
      <c r="F27">
        <v>30</v>
      </c>
      <c r="G27" t="s">
        <v>208</v>
      </c>
      <c r="H27" s="1">
        <v>44597</v>
      </c>
      <c r="I27" s="3">
        <v>64000</v>
      </c>
      <c r="J27" t="s">
        <v>207</v>
      </c>
    </row>
    <row r="28" spans="3:10" ht="13.5" customHeight="1">
      <c r="C28" t="s">
        <v>41</v>
      </c>
      <c r="D28" t="s">
        <v>6</v>
      </c>
      <c r="E28" t="s">
        <v>18</v>
      </c>
      <c r="F28">
        <v>42</v>
      </c>
      <c r="G28" t="s">
        <v>210</v>
      </c>
      <c r="H28" s="1">
        <v>44779</v>
      </c>
      <c r="I28" s="3">
        <v>75000</v>
      </c>
      <c r="J28" t="s">
        <v>207</v>
      </c>
    </row>
    <row r="29" spans="3:10" ht="13.5" customHeight="1">
      <c r="C29" t="s">
        <v>132</v>
      </c>
      <c r="D29" t="s">
        <v>6</v>
      </c>
      <c r="E29" t="s">
        <v>24</v>
      </c>
      <c r="F29">
        <v>40</v>
      </c>
      <c r="G29" t="s">
        <v>208</v>
      </c>
      <c r="H29" s="1">
        <v>44337</v>
      </c>
      <c r="I29" s="3">
        <v>87620</v>
      </c>
      <c r="J29" t="s">
        <v>207</v>
      </c>
    </row>
    <row r="30" spans="3:10" ht="13.5" customHeight="1">
      <c r="C30" t="s">
        <v>141</v>
      </c>
      <c r="D30" t="s">
        <v>6</v>
      </c>
      <c r="E30" t="s">
        <v>24</v>
      </c>
      <c r="F30">
        <v>29</v>
      </c>
      <c r="G30" t="s">
        <v>208</v>
      </c>
      <c r="H30" s="1">
        <v>44023</v>
      </c>
      <c r="I30" s="3">
        <v>34980</v>
      </c>
      <c r="J30" t="s">
        <v>207</v>
      </c>
    </row>
    <row r="31" spans="3:10" ht="13.5" customHeight="1">
      <c r="C31" t="s">
        <v>46</v>
      </c>
      <c r="D31" t="s">
        <v>6</v>
      </c>
      <c r="E31" t="s">
        <v>12</v>
      </c>
      <c r="F31">
        <v>28</v>
      </c>
      <c r="G31" t="s">
        <v>208</v>
      </c>
      <c r="H31" s="1">
        <v>44185</v>
      </c>
      <c r="I31" s="3">
        <v>75970</v>
      </c>
      <c r="J31" t="s">
        <v>207</v>
      </c>
    </row>
    <row r="32" spans="3:10" ht="13.5" customHeight="1">
      <c r="C32" t="s">
        <v>100</v>
      </c>
      <c r="D32" t="s">
        <v>6</v>
      </c>
      <c r="E32" t="s">
        <v>12</v>
      </c>
      <c r="F32">
        <v>34</v>
      </c>
      <c r="G32" t="s">
        <v>208</v>
      </c>
      <c r="H32" s="1">
        <v>44612</v>
      </c>
      <c r="I32" s="3">
        <v>60130</v>
      </c>
      <c r="J32" t="s">
        <v>207</v>
      </c>
    </row>
    <row r="33" spans="3:10" ht="13.5" customHeight="1">
      <c r="C33" t="s">
        <v>50</v>
      </c>
      <c r="D33" t="s">
        <v>6</v>
      </c>
      <c r="E33" t="s">
        <v>24</v>
      </c>
      <c r="F33">
        <v>33</v>
      </c>
      <c r="G33" t="s">
        <v>211</v>
      </c>
      <c r="H33" s="1">
        <v>44374</v>
      </c>
      <c r="I33" s="3">
        <v>75480</v>
      </c>
      <c r="J33" t="s">
        <v>207</v>
      </c>
    </row>
    <row r="34" spans="3:10" ht="13.5" customHeight="1">
      <c r="C34" t="s">
        <v>17</v>
      </c>
      <c r="D34" t="s">
        <v>7</v>
      </c>
      <c r="E34" t="s">
        <v>18</v>
      </c>
      <c r="F34">
        <v>33</v>
      </c>
      <c r="G34" t="s">
        <v>208</v>
      </c>
      <c r="H34" s="1">
        <v>44164</v>
      </c>
      <c r="I34" s="3">
        <v>115920</v>
      </c>
      <c r="J34" t="s">
        <v>207</v>
      </c>
    </row>
    <row r="35" spans="3:10" ht="13.5" customHeight="1">
      <c r="C35" t="s">
        <v>82</v>
      </c>
      <c r="D35" t="s">
        <v>6</v>
      </c>
      <c r="E35" t="s">
        <v>21</v>
      </c>
      <c r="F35">
        <v>36</v>
      </c>
      <c r="G35" t="s">
        <v>208</v>
      </c>
      <c r="H35" s="1">
        <v>44494</v>
      </c>
      <c r="I35" s="3">
        <v>78540</v>
      </c>
      <c r="J35" t="s">
        <v>207</v>
      </c>
    </row>
    <row r="36" spans="3:10" ht="13.5" customHeight="1">
      <c r="C36" t="s">
        <v>121</v>
      </c>
      <c r="D36" t="s">
        <v>7</v>
      </c>
      <c r="E36" t="s">
        <v>18</v>
      </c>
      <c r="F36">
        <v>25</v>
      </c>
      <c r="G36" t="s">
        <v>206</v>
      </c>
      <c r="H36" s="1">
        <v>44726</v>
      </c>
      <c r="I36" s="3">
        <v>109190</v>
      </c>
      <c r="J36" t="s">
        <v>207</v>
      </c>
    </row>
    <row r="37" spans="3:10" ht="13.5" customHeight="1">
      <c r="C37" t="s">
        <v>190</v>
      </c>
      <c r="D37" t="s">
        <v>6</v>
      </c>
      <c r="E37" t="s">
        <v>21</v>
      </c>
      <c r="F37">
        <v>34</v>
      </c>
      <c r="G37" t="s">
        <v>209</v>
      </c>
      <c r="H37" s="1">
        <v>44721</v>
      </c>
      <c r="I37" s="3">
        <v>49630</v>
      </c>
      <c r="J37" t="s">
        <v>207</v>
      </c>
    </row>
    <row r="38" spans="3:10" ht="13.5" customHeight="1">
      <c r="C38" t="s">
        <v>44</v>
      </c>
      <c r="D38" t="s">
        <v>6</v>
      </c>
      <c r="E38" t="s">
        <v>18</v>
      </c>
      <c r="F38">
        <v>28</v>
      </c>
      <c r="G38" t="s">
        <v>208</v>
      </c>
      <c r="H38" s="1">
        <v>44630</v>
      </c>
      <c r="I38" s="3">
        <v>99970</v>
      </c>
      <c r="J38" t="s">
        <v>207</v>
      </c>
    </row>
    <row r="39" spans="3:10" ht="13.5" customHeight="1">
      <c r="C39" t="s">
        <v>181</v>
      </c>
      <c r="D39" t="s">
        <v>6</v>
      </c>
      <c r="E39" t="s">
        <v>24</v>
      </c>
      <c r="F39">
        <v>33</v>
      </c>
      <c r="G39" t="s">
        <v>208</v>
      </c>
      <c r="H39" s="1">
        <v>44190</v>
      </c>
      <c r="I39" s="3">
        <v>96140</v>
      </c>
      <c r="J39" t="s">
        <v>207</v>
      </c>
    </row>
    <row r="40" spans="3:10" ht="13.5" customHeight="1">
      <c r="C40" t="s">
        <v>70</v>
      </c>
      <c r="D40" t="s">
        <v>7</v>
      </c>
      <c r="E40" t="s">
        <v>18</v>
      </c>
      <c r="F40">
        <v>31</v>
      </c>
      <c r="G40" t="s">
        <v>208</v>
      </c>
      <c r="H40" s="1">
        <v>44724</v>
      </c>
      <c r="I40" s="3">
        <v>103550</v>
      </c>
      <c r="J40" t="s">
        <v>207</v>
      </c>
    </row>
    <row r="41" spans="3:10" ht="13.5" customHeight="1">
      <c r="C41" t="s">
        <v>85</v>
      </c>
      <c r="D41" t="s">
        <v>7</v>
      </c>
      <c r="E41" t="s">
        <v>24</v>
      </c>
      <c r="F41">
        <v>31</v>
      </c>
      <c r="G41" t="s">
        <v>208</v>
      </c>
      <c r="H41" s="1">
        <v>44511</v>
      </c>
      <c r="I41" s="3">
        <v>48950</v>
      </c>
      <c r="J41" t="s">
        <v>207</v>
      </c>
    </row>
    <row r="42" spans="3:10" ht="13.5" customHeight="1">
      <c r="C42" t="s">
        <v>108</v>
      </c>
      <c r="D42" t="s">
        <v>7</v>
      </c>
      <c r="E42" t="s">
        <v>12</v>
      </c>
      <c r="F42">
        <v>24</v>
      </c>
      <c r="G42" t="s">
        <v>209</v>
      </c>
      <c r="H42" s="1">
        <v>44436</v>
      </c>
      <c r="I42" s="3">
        <v>52610</v>
      </c>
      <c r="J42" t="s">
        <v>207</v>
      </c>
    </row>
    <row r="43" spans="3:10" ht="13.5" customHeight="1">
      <c r="C43" t="s">
        <v>22</v>
      </c>
      <c r="D43" t="s">
        <v>6</v>
      </c>
      <c r="E43" t="s">
        <v>18</v>
      </c>
      <c r="F43">
        <v>36</v>
      </c>
      <c r="G43" t="s">
        <v>208</v>
      </c>
      <c r="H43" s="1">
        <v>44529</v>
      </c>
      <c r="I43" s="3">
        <v>78390</v>
      </c>
      <c r="J43" t="s">
        <v>207</v>
      </c>
    </row>
    <row r="44" spans="3:10" ht="13.5" customHeight="1">
      <c r="C44" t="s">
        <v>174</v>
      </c>
      <c r="D44" t="s">
        <v>6</v>
      </c>
      <c r="E44" t="s">
        <v>12</v>
      </c>
      <c r="F44">
        <v>33</v>
      </c>
      <c r="G44" t="s">
        <v>208</v>
      </c>
      <c r="H44" s="1">
        <v>44809</v>
      </c>
      <c r="I44" s="3">
        <v>86570</v>
      </c>
      <c r="J44" t="s">
        <v>207</v>
      </c>
    </row>
    <row r="45" spans="3:10" ht="13.5" customHeight="1">
      <c r="C45" t="s">
        <v>13</v>
      </c>
      <c r="D45" t="s">
        <v>6</v>
      </c>
      <c r="E45" t="s">
        <v>24</v>
      </c>
      <c r="F45">
        <v>27</v>
      </c>
      <c r="G45" t="s">
        <v>208</v>
      </c>
      <c r="H45" s="1">
        <v>44686</v>
      </c>
      <c r="I45" s="3">
        <v>83750</v>
      </c>
      <c r="J45" t="s">
        <v>207</v>
      </c>
    </row>
    <row r="46" spans="3:10" ht="13.5" customHeight="1">
      <c r="C46" t="s">
        <v>118</v>
      </c>
      <c r="D46" t="s">
        <v>6</v>
      </c>
      <c r="E46" t="s">
        <v>12</v>
      </c>
      <c r="F46">
        <v>34</v>
      </c>
      <c r="G46" t="s">
        <v>208</v>
      </c>
      <c r="H46" s="1">
        <v>44445</v>
      </c>
      <c r="I46" s="3">
        <v>92450</v>
      </c>
      <c r="J46" t="s">
        <v>207</v>
      </c>
    </row>
    <row r="47" spans="3:10" ht="13.5" customHeight="1">
      <c r="C47" t="s">
        <v>135</v>
      </c>
      <c r="D47" t="s">
        <v>7</v>
      </c>
      <c r="E47" t="s">
        <v>24</v>
      </c>
      <c r="F47">
        <v>20</v>
      </c>
      <c r="G47" t="s">
        <v>208</v>
      </c>
      <c r="H47" s="1">
        <v>44183</v>
      </c>
      <c r="I47" s="3">
        <v>112650</v>
      </c>
      <c r="J47" t="s">
        <v>207</v>
      </c>
    </row>
    <row r="48" spans="3:10" ht="13.5" customHeight="1">
      <c r="C48" t="s">
        <v>110</v>
      </c>
      <c r="D48" t="s">
        <v>7</v>
      </c>
      <c r="E48" t="s">
        <v>18</v>
      </c>
      <c r="F48">
        <v>20</v>
      </c>
      <c r="G48" t="s">
        <v>208</v>
      </c>
      <c r="H48" s="1">
        <v>44744</v>
      </c>
      <c r="I48" s="3">
        <v>79570</v>
      </c>
      <c r="J48" t="s">
        <v>207</v>
      </c>
    </row>
    <row r="49" spans="3:10" ht="13.5" customHeight="1">
      <c r="C49" t="s">
        <v>93</v>
      </c>
      <c r="D49" t="s">
        <v>6</v>
      </c>
      <c r="E49" t="s">
        <v>21</v>
      </c>
      <c r="F49">
        <v>20</v>
      </c>
      <c r="G49" t="s">
        <v>209</v>
      </c>
      <c r="H49" s="1">
        <v>44537</v>
      </c>
      <c r="I49" s="3">
        <v>68900</v>
      </c>
      <c r="J49" t="s">
        <v>207</v>
      </c>
    </row>
    <row r="50" spans="3:10" ht="13.5" customHeight="1">
      <c r="C50" t="s">
        <v>185</v>
      </c>
      <c r="D50" t="s">
        <v>6</v>
      </c>
      <c r="E50" t="s">
        <v>24</v>
      </c>
      <c r="F50">
        <v>25</v>
      </c>
      <c r="G50" t="s">
        <v>206</v>
      </c>
      <c r="H50" s="1">
        <v>44694</v>
      </c>
      <c r="I50" s="3">
        <v>80700</v>
      </c>
      <c r="J50" t="s">
        <v>207</v>
      </c>
    </row>
    <row r="51" spans="3:10" ht="13.5" customHeight="1">
      <c r="C51" t="s">
        <v>119</v>
      </c>
      <c r="D51" t="s">
        <v>7</v>
      </c>
      <c r="E51" t="s">
        <v>18</v>
      </c>
      <c r="F51">
        <v>19</v>
      </c>
      <c r="G51" t="s">
        <v>208</v>
      </c>
      <c r="H51" s="1">
        <v>44277</v>
      </c>
      <c r="I51" s="3">
        <v>58960</v>
      </c>
      <c r="J51" t="s">
        <v>207</v>
      </c>
    </row>
    <row r="52" spans="3:10" ht="13.5" customHeight="1">
      <c r="C52" t="s">
        <v>30</v>
      </c>
      <c r="D52" t="s">
        <v>7</v>
      </c>
      <c r="E52" t="s">
        <v>24</v>
      </c>
      <c r="F52">
        <v>36</v>
      </c>
      <c r="G52" t="s">
        <v>208</v>
      </c>
      <c r="H52" s="1">
        <v>44019</v>
      </c>
      <c r="I52" s="3">
        <v>118840</v>
      </c>
      <c r="J52" t="s">
        <v>207</v>
      </c>
    </row>
    <row r="53" spans="3:10" ht="13.5" customHeight="1">
      <c r="C53" t="s">
        <v>98</v>
      </c>
      <c r="D53" t="s">
        <v>7</v>
      </c>
      <c r="E53" t="s">
        <v>12</v>
      </c>
      <c r="F53">
        <v>28</v>
      </c>
      <c r="G53" t="s">
        <v>206</v>
      </c>
      <c r="H53" s="1">
        <v>44041</v>
      </c>
      <c r="I53" s="3">
        <v>48170</v>
      </c>
      <c r="J53" t="s">
        <v>207</v>
      </c>
    </row>
    <row r="54" spans="3:10" ht="13.5" customHeight="1">
      <c r="C54" t="s">
        <v>76</v>
      </c>
      <c r="D54" t="s">
        <v>6</v>
      </c>
      <c r="E54" t="s">
        <v>15</v>
      </c>
      <c r="F54">
        <v>32</v>
      </c>
      <c r="G54" t="s">
        <v>208</v>
      </c>
      <c r="H54" s="1">
        <v>44400</v>
      </c>
      <c r="I54" s="3">
        <v>45510</v>
      </c>
      <c r="J54" t="s">
        <v>207</v>
      </c>
    </row>
    <row r="55" spans="3:10" ht="13.5" customHeight="1">
      <c r="C55" t="s">
        <v>182</v>
      </c>
      <c r="D55" t="s">
        <v>6</v>
      </c>
      <c r="E55" t="s">
        <v>18</v>
      </c>
      <c r="F55">
        <v>36</v>
      </c>
      <c r="G55" t="s">
        <v>208</v>
      </c>
      <c r="H55" s="1">
        <v>44085</v>
      </c>
      <c r="I55" s="3">
        <v>114890</v>
      </c>
      <c r="J55" t="s">
        <v>207</v>
      </c>
    </row>
    <row r="56" spans="3:10" ht="13.5" customHeight="1">
      <c r="C56" t="s">
        <v>138</v>
      </c>
      <c r="D56" t="s">
        <v>7</v>
      </c>
      <c r="E56" t="s">
        <v>24</v>
      </c>
      <c r="F56">
        <v>30</v>
      </c>
      <c r="G56" t="s">
        <v>208</v>
      </c>
      <c r="H56" s="1">
        <v>44850</v>
      </c>
      <c r="I56" s="3">
        <v>69710</v>
      </c>
      <c r="J56" t="s">
        <v>207</v>
      </c>
    </row>
    <row r="57" spans="3:10" ht="13.5" customHeight="1">
      <c r="C57" t="s">
        <v>43</v>
      </c>
      <c r="D57" t="s">
        <v>7</v>
      </c>
      <c r="E57" t="s">
        <v>12</v>
      </c>
      <c r="F57">
        <v>36</v>
      </c>
      <c r="G57" t="s">
        <v>208</v>
      </c>
      <c r="H57" s="1">
        <v>44333</v>
      </c>
      <c r="I57" s="3">
        <v>71380</v>
      </c>
      <c r="J57" t="s">
        <v>207</v>
      </c>
    </row>
    <row r="58" spans="3:10" ht="13.5" customHeight="1">
      <c r="C58" t="s">
        <v>150</v>
      </c>
      <c r="D58" t="s">
        <v>6</v>
      </c>
      <c r="E58" t="s">
        <v>21</v>
      </c>
      <c r="F58">
        <v>38</v>
      </c>
      <c r="G58" t="s">
        <v>210</v>
      </c>
      <c r="H58" s="1">
        <v>44377</v>
      </c>
      <c r="I58" s="3">
        <v>109160</v>
      </c>
      <c r="J58" t="s">
        <v>207</v>
      </c>
    </row>
    <row r="59" spans="3:10" ht="13.5" customHeight="1">
      <c r="C59" t="s">
        <v>125</v>
      </c>
      <c r="D59" t="s">
        <v>7</v>
      </c>
      <c r="E59" t="s">
        <v>18</v>
      </c>
      <c r="F59">
        <v>27</v>
      </c>
      <c r="G59" t="s">
        <v>211</v>
      </c>
      <c r="H59" s="1">
        <v>44609</v>
      </c>
      <c r="I59" s="3">
        <v>113280</v>
      </c>
      <c r="J59" t="s">
        <v>207</v>
      </c>
    </row>
    <row r="60" spans="3:10" ht="13.5" customHeight="1">
      <c r="C60" t="s">
        <v>33</v>
      </c>
      <c r="D60" t="s">
        <v>7</v>
      </c>
      <c r="E60" t="s">
        <v>24</v>
      </c>
      <c r="F60">
        <v>30</v>
      </c>
      <c r="G60" t="s">
        <v>208</v>
      </c>
      <c r="H60" s="1">
        <v>44273</v>
      </c>
      <c r="I60" s="3">
        <v>69120</v>
      </c>
      <c r="J60" t="s">
        <v>207</v>
      </c>
    </row>
    <row r="61" spans="3:10" ht="13.5" customHeight="1">
      <c r="C61" t="s">
        <v>26</v>
      </c>
      <c r="D61" t="s">
        <v>6</v>
      </c>
      <c r="E61" t="s">
        <v>15</v>
      </c>
      <c r="F61">
        <v>37</v>
      </c>
      <c r="G61" t="s">
        <v>208</v>
      </c>
      <c r="H61" s="1">
        <v>44451</v>
      </c>
      <c r="I61" s="3">
        <v>118100</v>
      </c>
      <c r="J61" t="s">
        <v>207</v>
      </c>
    </row>
    <row r="62" spans="3:10" ht="13.5" customHeight="1">
      <c r="C62" t="s">
        <v>191</v>
      </c>
      <c r="D62" t="s">
        <v>6</v>
      </c>
      <c r="E62" t="s">
        <v>18</v>
      </c>
      <c r="F62">
        <v>22</v>
      </c>
      <c r="G62" t="s">
        <v>206</v>
      </c>
      <c r="H62" s="1">
        <v>44450</v>
      </c>
      <c r="I62" s="3">
        <v>76900</v>
      </c>
      <c r="J62" t="s">
        <v>207</v>
      </c>
    </row>
    <row r="63" spans="3:10" ht="13.5" customHeight="1">
      <c r="C63" t="s">
        <v>194</v>
      </c>
      <c r="D63" t="s">
        <v>6</v>
      </c>
      <c r="E63" t="s">
        <v>24</v>
      </c>
      <c r="F63">
        <v>43</v>
      </c>
      <c r="G63" t="s">
        <v>208</v>
      </c>
      <c r="H63" s="1">
        <v>45045</v>
      </c>
      <c r="I63" s="3">
        <v>114870</v>
      </c>
      <c r="J63" t="s">
        <v>207</v>
      </c>
    </row>
    <row r="64" spans="3:10" ht="13.5" customHeight="1">
      <c r="C64" t="s">
        <v>122</v>
      </c>
      <c r="D64" t="s">
        <v>8</v>
      </c>
      <c r="E64" t="s">
        <v>24</v>
      </c>
      <c r="F64">
        <v>32</v>
      </c>
      <c r="G64" t="s">
        <v>208</v>
      </c>
      <c r="H64" s="1">
        <v>44774</v>
      </c>
      <c r="I64" s="3">
        <v>91310</v>
      </c>
      <c r="J64" t="s">
        <v>207</v>
      </c>
    </row>
    <row r="65" spans="3:10" ht="13.5" customHeight="1">
      <c r="C65" t="s">
        <v>99</v>
      </c>
      <c r="D65" t="s">
        <v>6</v>
      </c>
      <c r="E65" t="s">
        <v>18</v>
      </c>
      <c r="F65">
        <v>28</v>
      </c>
      <c r="G65" t="s">
        <v>208</v>
      </c>
      <c r="H65" s="1">
        <v>44486</v>
      </c>
      <c r="I65" s="3">
        <v>104770</v>
      </c>
      <c r="J65" t="s">
        <v>207</v>
      </c>
    </row>
    <row r="66" spans="3:10" ht="13.5" customHeight="1">
      <c r="C66" t="s">
        <v>25</v>
      </c>
      <c r="D66" t="s">
        <v>7</v>
      </c>
      <c r="E66" t="s">
        <v>21</v>
      </c>
      <c r="F66">
        <v>27</v>
      </c>
      <c r="G66" t="s">
        <v>208</v>
      </c>
      <c r="H66" s="1">
        <v>44134</v>
      </c>
      <c r="I66" s="3">
        <v>54970</v>
      </c>
      <c r="J66" t="s">
        <v>207</v>
      </c>
    </row>
    <row r="67" spans="3:10" ht="13.5" customHeight="1">
      <c r="C67" t="s">
        <v>65</v>
      </c>
      <c r="D67" t="s">
        <v>8</v>
      </c>
      <c r="E67" t="s">
        <v>24</v>
      </c>
      <c r="F67">
        <v>26</v>
      </c>
      <c r="G67" t="s">
        <v>206</v>
      </c>
      <c r="H67" s="1">
        <v>44271</v>
      </c>
      <c r="I67" s="3">
        <v>90700</v>
      </c>
      <c r="J67" t="s">
        <v>207</v>
      </c>
    </row>
    <row r="68" spans="3:10" ht="13.5" customHeight="1">
      <c r="C68" t="s">
        <v>143</v>
      </c>
      <c r="D68" t="s">
        <v>6</v>
      </c>
      <c r="E68" t="s">
        <v>21</v>
      </c>
      <c r="F68">
        <v>38</v>
      </c>
      <c r="G68" t="s">
        <v>206</v>
      </c>
      <c r="H68" s="1">
        <v>44329</v>
      </c>
      <c r="I68" s="3">
        <v>56870</v>
      </c>
      <c r="J68" t="s">
        <v>207</v>
      </c>
    </row>
    <row r="69" spans="3:10" ht="13.5" customHeight="1">
      <c r="C69" t="s">
        <v>88</v>
      </c>
      <c r="D69" t="s">
        <v>6</v>
      </c>
      <c r="E69" t="s">
        <v>21</v>
      </c>
      <c r="F69">
        <v>25</v>
      </c>
      <c r="G69" t="s">
        <v>208</v>
      </c>
      <c r="H69" s="1">
        <v>44205</v>
      </c>
      <c r="I69" s="3">
        <v>92700</v>
      </c>
      <c r="J69" t="s">
        <v>207</v>
      </c>
    </row>
    <row r="70" spans="3:10" ht="13.5" customHeight="1">
      <c r="C70" t="s">
        <v>131</v>
      </c>
      <c r="D70" t="s">
        <v>6</v>
      </c>
      <c r="E70" t="s">
        <v>12</v>
      </c>
      <c r="F70">
        <v>21</v>
      </c>
      <c r="G70" t="s">
        <v>208</v>
      </c>
      <c r="H70" s="1">
        <v>44317</v>
      </c>
      <c r="I70" s="3">
        <v>65920</v>
      </c>
      <c r="J70" t="s">
        <v>207</v>
      </c>
    </row>
    <row r="71" spans="3:10" ht="13.5" customHeight="1">
      <c r="C71" t="s">
        <v>64</v>
      </c>
      <c r="D71" t="s">
        <v>7</v>
      </c>
      <c r="E71" t="s">
        <v>18</v>
      </c>
      <c r="F71">
        <v>26</v>
      </c>
      <c r="G71" t="s">
        <v>208</v>
      </c>
      <c r="H71" s="1">
        <v>44225</v>
      </c>
      <c r="I71" s="3">
        <v>47360</v>
      </c>
      <c r="J71" t="s">
        <v>207</v>
      </c>
    </row>
    <row r="72" spans="3:10" ht="13.5" customHeight="1">
      <c r="C72" t="s">
        <v>128</v>
      </c>
      <c r="D72" t="s">
        <v>7</v>
      </c>
      <c r="E72" t="s">
        <v>18</v>
      </c>
      <c r="F72">
        <v>30</v>
      </c>
      <c r="G72" t="s">
        <v>208</v>
      </c>
      <c r="H72" s="1">
        <v>44666</v>
      </c>
      <c r="I72" s="3">
        <v>60570</v>
      </c>
      <c r="J72" t="s">
        <v>207</v>
      </c>
    </row>
    <row r="73" spans="3:10" ht="13.5" customHeight="1">
      <c r="C73" t="s">
        <v>53</v>
      </c>
      <c r="D73" t="s">
        <v>6</v>
      </c>
      <c r="E73" t="s">
        <v>18</v>
      </c>
      <c r="F73">
        <v>28</v>
      </c>
      <c r="G73" t="s">
        <v>208</v>
      </c>
      <c r="H73" s="1">
        <v>44649</v>
      </c>
      <c r="I73" s="3">
        <v>104120</v>
      </c>
      <c r="J73" t="s">
        <v>207</v>
      </c>
    </row>
    <row r="74" spans="3:10" ht="13.5" customHeight="1">
      <c r="C74" t="s">
        <v>54</v>
      </c>
      <c r="D74" t="s">
        <v>7</v>
      </c>
      <c r="E74" t="s">
        <v>24</v>
      </c>
      <c r="F74">
        <v>37</v>
      </c>
      <c r="G74" t="s">
        <v>209</v>
      </c>
      <c r="H74" s="1">
        <v>44338</v>
      </c>
      <c r="I74" s="3">
        <v>88050</v>
      </c>
      <c r="J74" t="s">
        <v>207</v>
      </c>
    </row>
    <row r="75" spans="3:10" ht="13.5" customHeight="1">
      <c r="C75" t="s">
        <v>56</v>
      </c>
      <c r="D75" t="s">
        <v>7</v>
      </c>
      <c r="E75" t="s">
        <v>24</v>
      </c>
      <c r="F75">
        <v>24</v>
      </c>
      <c r="G75" t="s">
        <v>208</v>
      </c>
      <c r="H75" s="1">
        <v>44686</v>
      </c>
      <c r="I75" s="3">
        <v>100420</v>
      </c>
      <c r="J75" t="s">
        <v>207</v>
      </c>
    </row>
    <row r="76" spans="3:10" ht="13.5" customHeight="1">
      <c r="C76" t="s">
        <v>89</v>
      </c>
      <c r="D76" t="s">
        <v>6</v>
      </c>
      <c r="E76" t="s">
        <v>18</v>
      </c>
      <c r="F76">
        <v>30</v>
      </c>
      <c r="G76" t="s">
        <v>208</v>
      </c>
      <c r="H76" s="1">
        <v>44850</v>
      </c>
      <c r="I76" s="3">
        <v>114180</v>
      </c>
      <c r="J76" t="s">
        <v>207</v>
      </c>
    </row>
    <row r="77" spans="3:10" ht="13.5" customHeight="1">
      <c r="C77" t="s">
        <v>83</v>
      </c>
      <c r="D77" t="s">
        <v>6</v>
      </c>
      <c r="E77" t="s">
        <v>24</v>
      </c>
      <c r="F77">
        <v>21</v>
      </c>
      <c r="G77" t="s">
        <v>208</v>
      </c>
      <c r="H77" s="1">
        <v>44678</v>
      </c>
      <c r="I77" s="3">
        <v>33920</v>
      </c>
      <c r="J77" t="s">
        <v>207</v>
      </c>
    </row>
    <row r="78" spans="3:10" ht="13.5" customHeight="1">
      <c r="C78" t="s">
        <v>112</v>
      </c>
      <c r="D78" t="s">
        <v>7</v>
      </c>
      <c r="E78" t="s">
        <v>18</v>
      </c>
      <c r="F78">
        <v>23</v>
      </c>
      <c r="G78" t="s">
        <v>208</v>
      </c>
      <c r="H78" s="1">
        <v>44440</v>
      </c>
      <c r="I78" s="3">
        <v>106460</v>
      </c>
      <c r="J78" t="s">
        <v>207</v>
      </c>
    </row>
    <row r="79" spans="3:10" ht="13.5" customHeight="1">
      <c r="C79" t="s">
        <v>36</v>
      </c>
      <c r="D79" t="s">
        <v>7</v>
      </c>
      <c r="E79" t="s">
        <v>18</v>
      </c>
      <c r="F79">
        <v>35</v>
      </c>
      <c r="G79" t="s">
        <v>208</v>
      </c>
      <c r="H79" s="1">
        <v>44727</v>
      </c>
      <c r="I79" s="3">
        <v>40400</v>
      </c>
      <c r="J79" t="s">
        <v>207</v>
      </c>
    </row>
    <row r="80" spans="3:10" ht="13.5" customHeight="1">
      <c r="C80" t="s">
        <v>73</v>
      </c>
      <c r="D80" t="s">
        <v>7</v>
      </c>
      <c r="E80" t="s">
        <v>12</v>
      </c>
      <c r="F80">
        <v>27</v>
      </c>
      <c r="G80" t="s">
        <v>206</v>
      </c>
      <c r="H80" s="1">
        <v>44236</v>
      </c>
      <c r="I80" s="3">
        <v>91650</v>
      </c>
      <c r="J80" t="s">
        <v>207</v>
      </c>
    </row>
    <row r="81" spans="3:10" ht="13.5" customHeight="1">
      <c r="C81" t="s">
        <v>48</v>
      </c>
      <c r="D81" t="s">
        <v>7</v>
      </c>
      <c r="E81" t="s">
        <v>21</v>
      </c>
      <c r="F81">
        <v>43</v>
      </c>
      <c r="G81" t="s">
        <v>208</v>
      </c>
      <c r="H81" s="1">
        <v>44620</v>
      </c>
      <c r="I81" s="3">
        <v>36040</v>
      </c>
      <c r="J81" t="s">
        <v>207</v>
      </c>
    </row>
    <row r="82" spans="3:10" ht="13.5" customHeight="1">
      <c r="C82" t="s">
        <v>51</v>
      </c>
      <c r="D82" t="s">
        <v>6</v>
      </c>
      <c r="E82" t="s">
        <v>24</v>
      </c>
      <c r="F82">
        <v>40</v>
      </c>
      <c r="G82" t="s">
        <v>208</v>
      </c>
      <c r="H82" s="1">
        <v>44381</v>
      </c>
      <c r="I82" s="3">
        <v>104410</v>
      </c>
      <c r="J82" t="s">
        <v>207</v>
      </c>
    </row>
    <row r="83" spans="3:10" ht="13.5" customHeight="1">
      <c r="C83" t="s">
        <v>57</v>
      </c>
      <c r="D83" t="s">
        <v>7</v>
      </c>
      <c r="E83" t="s">
        <v>12</v>
      </c>
      <c r="F83">
        <v>30</v>
      </c>
      <c r="G83" t="s">
        <v>208</v>
      </c>
      <c r="H83" s="1">
        <v>44606</v>
      </c>
      <c r="I83" s="3">
        <v>96800</v>
      </c>
      <c r="J83" t="s">
        <v>207</v>
      </c>
    </row>
    <row r="84" spans="3:10" ht="13.5" customHeight="1">
      <c r="C84" t="s">
        <v>104</v>
      </c>
      <c r="D84" t="s">
        <v>6</v>
      </c>
      <c r="E84" t="s">
        <v>12</v>
      </c>
      <c r="F84">
        <v>34</v>
      </c>
      <c r="G84" t="s">
        <v>208</v>
      </c>
      <c r="H84" s="1">
        <v>44459</v>
      </c>
      <c r="I84" s="3">
        <v>85000</v>
      </c>
      <c r="J84" t="s">
        <v>207</v>
      </c>
    </row>
    <row r="85" spans="3:10" ht="13.5" customHeight="1">
      <c r="C85" t="s">
        <v>69</v>
      </c>
      <c r="D85" t="s">
        <v>7</v>
      </c>
      <c r="E85" t="s">
        <v>21</v>
      </c>
      <c r="F85">
        <v>28</v>
      </c>
      <c r="G85" t="s">
        <v>211</v>
      </c>
      <c r="H85" s="1">
        <v>44820</v>
      </c>
      <c r="I85" s="3">
        <v>43510</v>
      </c>
      <c r="J85" t="s">
        <v>207</v>
      </c>
    </row>
    <row r="86" spans="3:10" ht="13.5" customHeight="1">
      <c r="C86" t="s">
        <v>137</v>
      </c>
      <c r="D86" t="s">
        <v>7</v>
      </c>
      <c r="E86" t="s">
        <v>12</v>
      </c>
      <c r="F86">
        <v>33</v>
      </c>
      <c r="G86" t="s">
        <v>208</v>
      </c>
      <c r="H86" s="1">
        <v>44243</v>
      </c>
      <c r="I86" s="3">
        <v>59430</v>
      </c>
      <c r="J86" t="s">
        <v>207</v>
      </c>
    </row>
    <row r="87" spans="3:10" ht="13.5" customHeight="1">
      <c r="C87" t="s">
        <v>180</v>
      </c>
      <c r="D87" t="s">
        <v>6</v>
      </c>
      <c r="E87" t="s">
        <v>12</v>
      </c>
      <c r="F87">
        <v>33</v>
      </c>
      <c r="G87" t="s">
        <v>208</v>
      </c>
      <c r="H87" s="1">
        <v>44067</v>
      </c>
      <c r="I87" s="3">
        <v>65360</v>
      </c>
      <c r="J87" t="s">
        <v>207</v>
      </c>
    </row>
    <row r="88" spans="3:10" ht="13.5" customHeight="1">
      <c r="C88" t="s">
        <v>58</v>
      </c>
      <c r="D88" t="s">
        <v>6</v>
      </c>
      <c r="E88" t="s">
        <v>18</v>
      </c>
      <c r="F88">
        <v>32</v>
      </c>
      <c r="G88" t="s">
        <v>208</v>
      </c>
      <c r="H88" s="1">
        <v>44611</v>
      </c>
      <c r="I88" s="3">
        <v>41570</v>
      </c>
      <c r="J88" t="s">
        <v>207</v>
      </c>
    </row>
    <row r="89" spans="3:10" ht="13.5" customHeight="1">
      <c r="C89" t="s">
        <v>72</v>
      </c>
      <c r="D89" t="s">
        <v>6</v>
      </c>
      <c r="E89" t="s">
        <v>24</v>
      </c>
      <c r="F89">
        <v>33</v>
      </c>
      <c r="G89" t="s">
        <v>208</v>
      </c>
      <c r="H89" s="1">
        <v>44312</v>
      </c>
      <c r="I89" s="3">
        <v>75280</v>
      </c>
      <c r="J89" t="s">
        <v>207</v>
      </c>
    </row>
    <row r="90" spans="3:10" ht="13.5" customHeight="1">
      <c r="C90" t="s">
        <v>80</v>
      </c>
      <c r="D90" t="s">
        <v>7</v>
      </c>
      <c r="E90" t="s">
        <v>21</v>
      </c>
      <c r="F90">
        <v>33</v>
      </c>
      <c r="G90" t="s">
        <v>208</v>
      </c>
      <c r="H90" s="1">
        <v>44385</v>
      </c>
      <c r="I90" s="3">
        <v>74550</v>
      </c>
      <c r="J90" t="s">
        <v>207</v>
      </c>
    </row>
    <row r="91" spans="3:10" ht="13.5" customHeight="1">
      <c r="C91" t="s">
        <v>71</v>
      </c>
      <c r="D91" t="s">
        <v>7</v>
      </c>
      <c r="E91" t="s">
        <v>18</v>
      </c>
      <c r="F91">
        <v>30</v>
      </c>
      <c r="G91" t="s">
        <v>208</v>
      </c>
      <c r="H91" s="1">
        <v>44701</v>
      </c>
      <c r="I91" s="3">
        <v>67950</v>
      </c>
      <c r="J91" t="s">
        <v>207</v>
      </c>
    </row>
    <row r="92" spans="3:10" ht="13.5" customHeight="1">
      <c r="C92" t="s">
        <v>166</v>
      </c>
      <c r="D92" t="s">
        <v>7</v>
      </c>
      <c r="E92" t="s">
        <v>12</v>
      </c>
      <c r="F92">
        <v>42</v>
      </c>
      <c r="G92" t="s">
        <v>209</v>
      </c>
      <c r="H92" s="1">
        <v>44731</v>
      </c>
      <c r="I92" s="3">
        <v>70270</v>
      </c>
      <c r="J92" t="s">
        <v>207</v>
      </c>
    </row>
    <row r="93" spans="3:10" ht="13.5" customHeight="1">
      <c r="C93" t="s">
        <v>197</v>
      </c>
      <c r="D93" t="s">
        <v>7</v>
      </c>
      <c r="E93" t="s">
        <v>18</v>
      </c>
      <c r="F93">
        <v>26</v>
      </c>
      <c r="G93" t="s">
        <v>208</v>
      </c>
      <c r="H93" s="1">
        <v>44411</v>
      </c>
      <c r="I93" s="3">
        <v>53540</v>
      </c>
      <c r="J93" t="s">
        <v>207</v>
      </c>
    </row>
  </sheetData>
  <sortState xmlns:xlrd2="http://schemas.microsoft.com/office/spreadsheetml/2017/richdata2" columnSort="1" ref="C1:I1">
    <sortCondition descending="1" ref="C1"/>
  </sortState>
  <conditionalFormatting sqref="C3:C93">
    <cfRule type="duplicateValues" dxfId="2" priority="2"/>
  </conditionalFormatting>
  <pageMargins left="0.7" right="0.7" top="0.75" bottom="0.75" header="0.3" footer="0.3"/>
  <pageSetup paperSize="9" orientation="portrait" horizontalDpi="0"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I95"/>
  <sheetViews>
    <sheetView topLeftCell="B76" workbookViewId="0">
      <selection activeCell="H95" sqref="H95"/>
    </sheetView>
  </sheetViews>
  <sheetFormatPr defaultColWidth="9" defaultRowHeight="13.5" customHeight="1"/>
  <cols>
    <col min="2" max="2" width="29.6640625" customWidth="1"/>
    <col min="3" max="3" width="7.44140625" customWidth="1"/>
    <col min="4" max="4" width="12.44140625" customWidth="1"/>
    <col min="5" max="5" width="11.77734375" customWidth="1"/>
    <col min="6" max="6" width="14.109375" customWidth="1"/>
    <col min="7" max="7" width="11.44140625" customWidth="1"/>
    <col min="8" max="8" width="13.109375" bestFit="1" customWidth="1"/>
    <col min="9" max="9" width="12.44140625" customWidth="1"/>
  </cols>
  <sheetData>
    <row r="2" spans="2:9" ht="13.5" customHeight="1">
      <c r="B2" s="2" t="s">
        <v>1</v>
      </c>
      <c r="C2" s="2" t="s">
        <v>0</v>
      </c>
      <c r="D2" s="2" t="s">
        <v>5</v>
      </c>
      <c r="E2" s="2" t="s">
        <v>2</v>
      </c>
      <c r="F2" s="2" t="s">
        <v>201</v>
      </c>
      <c r="G2" s="2" t="s">
        <v>199</v>
      </c>
      <c r="H2" s="2" t="s">
        <v>200</v>
      </c>
      <c r="I2" s="2" t="s">
        <v>202</v>
      </c>
    </row>
    <row r="3" spans="2:9" ht="13.5" customHeight="1">
      <c r="B3" t="s">
        <v>62</v>
      </c>
      <c r="C3" t="s">
        <v>7</v>
      </c>
      <c r="D3" t="s">
        <v>24</v>
      </c>
      <c r="E3">
        <v>20</v>
      </c>
      <c r="F3" t="s">
        <v>208</v>
      </c>
      <c r="G3" s="1">
        <v>44122</v>
      </c>
      <c r="H3" s="3">
        <v>112650</v>
      </c>
      <c r="I3" s="3" t="s">
        <v>212</v>
      </c>
    </row>
    <row r="4" spans="2:9" ht="13.5" customHeight="1">
      <c r="B4" t="s">
        <v>195</v>
      </c>
      <c r="C4" t="s">
        <v>6</v>
      </c>
      <c r="D4" t="s">
        <v>24</v>
      </c>
      <c r="E4">
        <v>32</v>
      </c>
      <c r="F4" t="s">
        <v>206</v>
      </c>
      <c r="G4" s="1">
        <v>44293</v>
      </c>
      <c r="H4" s="3">
        <v>43840</v>
      </c>
      <c r="I4" s="3" t="s">
        <v>212</v>
      </c>
    </row>
    <row r="5" spans="2:9" ht="13.5" customHeight="1">
      <c r="B5" t="s">
        <v>162</v>
      </c>
      <c r="C5" t="s">
        <v>7</v>
      </c>
      <c r="D5" t="s">
        <v>18</v>
      </c>
      <c r="E5">
        <v>31</v>
      </c>
      <c r="F5" t="s">
        <v>208</v>
      </c>
      <c r="G5" s="1">
        <v>44663</v>
      </c>
      <c r="H5" s="3">
        <v>103550</v>
      </c>
      <c r="I5" s="3" t="s">
        <v>212</v>
      </c>
    </row>
    <row r="6" spans="2:9" ht="13.5" customHeight="1">
      <c r="B6" t="s">
        <v>123</v>
      </c>
      <c r="C6" t="s">
        <v>6</v>
      </c>
      <c r="D6" t="s">
        <v>15</v>
      </c>
      <c r="E6">
        <v>32</v>
      </c>
      <c r="F6" t="s">
        <v>208</v>
      </c>
      <c r="G6" s="1">
        <v>44339</v>
      </c>
      <c r="H6" s="3">
        <v>45510</v>
      </c>
      <c r="I6" s="3" t="s">
        <v>212</v>
      </c>
    </row>
    <row r="7" spans="2:9" ht="13.5" customHeight="1">
      <c r="B7" t="s">
        <v>14</v>
      </c>
      <c r="C7" t="s">
        <v>8</v>
      </c>
      <c r="D7" t="s">
        <v>12</v>
      </c>
      <c r="E7">
        <v>37</v>
      </c>
      <c r="F7" t="s">
        <v>209</v>
      </c>
      <c r="G7" s="1">
        <v>44085</v>
      </c>
      <c r="H7" s="3">
        <v>115440</v>
      </c>
      <c r="I7" s="3" t="s">
        <v>212</v>
      </c>
    </row>
    <row r="8" spans="2:9" ht="13.5" customHeight="1">
      <c r="B8" t="s">
        <v>133</v>
      </c>
      <c r="C8" t="s">
        <v>6</v>
      </c>
      <c r="D8" t="s">
        <v>21</v>
      </c>
      <c r="E8">
        <v>38</v>
      </c>
      <c r="F8" t="s">
        <v>206</v>
      </c>
      <c r="G8" s="1">
        <v>44268</v>
      </c>
      <c r="H8" s="3">
        <v>56870</v>
      </c>
      <c r="I8" s="3" t="s">
        <v>212</v>
      </c>
    </row>
    <row r="9" spans="2:9" ht="13.5" customHeight="1">
      <c r="B9" t="s">
        <v>149</v>
      </c>
      <c r="C9" t="s">
        <v>6</v>
      </c>
      <c r="D9" t="s">
        <v>21</v>
      </c>
      <c r="E9">
        <v>25</v>
      </c>
      <c r="F9" t="s">
        <v>208</v>
      </c>
      <c r="G9" s="1">
        <v>44144</v>
      </c>
      <c r="H9" s="3">
        <v>92700</v>
      </c>
      <c r="I9" s="3" t="s">
        <v>212</v>
      </c>
    </row>
    <row r="10" spans="2:9" ht="13.5" customHeight="1">
      <c r="B10" t="s">
        <v>154</v>
      </c>
      <c r="C10" t="s">
        <v>8</v>
      </c>
      <c r="D10" t="s">
        <v>24</v>
      </c>
      <c r="E10">
        <v>32</v>
      </c>
      <c r="F10" t="s">
        <v>208</v>
      </c>
      <c r="G10" s="1">
        <v>44713</v>
      </c>
      <c r="H10" s="3">
        <v>91310</v>
      </c>
      <c r="I10" s="3" t="s">
        <v>212</v>
      </c>
    </row>
    <row r="11" spans="2:9" ht="13.5" customHeight="1">
      <c r="B11" t="s">
        <v>196</v>
      </c>
      <c r="C11" t="s">
        <v>7</v>
      </c>
      <c r="D11" t="s">
        <v>21</v>
      </c>
      <c r="E11">
        <v>33</v>
      </c>
      <c r="F11" t="s">
        <v>208</v>
      </c>
      <c r="G11" s="1">
        <v>44324</v>
      </c>
      <c r="H11" s="3">
        <v>74550</v>
      </c>
      <c r="I11" s="3" t="s">
        <v>212</v>
      </c>
    </row>
    <row r="12" spans="2:9" ht="13.5" customHeight="1">
      <c r="B12" t="s">
        <v>60</v>
      </c>
      <c r="C12" t="s">
        <v>7</v>
      </c>
      <c r="D12" t="s">
        <v>18</v>
      </c>
      <c r="E12">
        <v>25</v>
      </c>
      <c r="F12" t="s">
        <v>206</v>
      </c>
      <c r="G12" s="1">
        <v>44665</v>
      </c>
      <c r="H12" s="3">
        <v>109190</v>
      </c>
      <c r="I12" s="3" t="s">
        <v>212</v>
      </c>
    </row>
    <row r="13" spans="2:9" ht="13.5" customHeight="1">
      <c r="B13" t="s">
        <v>129</v>
      </c>
      <c r="C13" t="s">
        <v>6</v>
      </c>
      <c r="D13" t="s">
        <v>24</v>
      </c>
      <c r="E13">
        <v>40</v>
      </c>
      <c r="F13" t="s">
        <v>208</v>
      </c>
      <c r="G13" s="1">
        <v>44320</v>
      </c>
      <c r="H13" s="3">
        <v>104410</v>
      </c>
      <c r="I13" s="3" t="s">
        <v>212</v>
      </c>
    </row>
    <row r="14" spans="2:9" ht="13.5" customHeight="1">
      <c r="B14" t="s">
        <v>134</v>
      </c>
      <c r="C14" t="s">
        <v>7</v>
      </c>
      <c r="D14" t="s">
        <v>12</v>
      </c>
      <c r="E14">
        <v>30</v>
      </c>
      <c r="F14" t="s">
        <v>208</v>
      </c>
      <c r="G14" s="1">
        <v>44544</v>
      </c>
      <c r="H14" s="3">
        <v>96800</v>
      </c>
      <c r="I14" s="3" t="s">
        <v>212</v>
      </c>
    </row>
    <row r="15" spans="2:9" ht="13.5" customHeight="1">
      <c r="B15" t="s">
        <v>37</v>
      </c>
      <c r="C15" t="s">
        <v>7</v>
      </c>
      <c r="D15" t="s">
        <v>12</v>
      </c>
      <c r="E15">
        <v>28</v>
      </c>
      <c r="F15" t="s">
        <v>206</v>
      </c>
      <c r="G15" s="1">
        <v>43980</v>
      </c>
      <c r="H15" s="3">
        <v>48170</v>
      </c>
      <c r="I15" s="3" t="s">
        <v>212</v>
      </c>
    </row>
    <row r="16" spans="2:9" ht="13.5" customHeight="1">
      <c r="B16" t="s">
        <v>19</v>
      </c>
      <c r="C16" t="s">
        <v>7</v>
      </c>
      <c r="D16" t="s">
        <v>18</v>
      </c>
      <c r="E16">
        <v>21</v>
      </c>
      <c r="F16" t="s">
        <v>208</v>
      </c>
      <c r="G16" s="1">
        <v>44042</v>
      </c>
      <c r="H16" s="3">
        <v>37920</v>
      </c>
      <c r="I16" s="3" t="s">
        <v>212</v>
      </c>
    </row>
    <row r="17" spans="2:9" ht="13.5" customHeight="1">
      <c r="B17" t="s">
        <v>40</v>
      </c>
      <c r="C17" t="s">
        <v>7</v>
      </c>
      <c r="D17" t="s">
        <v>18</v>
      </c>
      <c r="E17">
        <v>34</v>
      </c>
      <c r="F17" t="s">
        <v>208</v>
      </c>
      <c r="G17" s="1">
        <v>44642</v>
      </c>
      <c r="H17" s="3">
        <v>112650</v>
      </c>
      <c r="I17" s="3" t="s">
        <v>212</v>
      </c>
    </row>
    <row r="18" spans="2:9" ht="13.5" customHeight="1">
      <c r="B18" t="s">
        <v>61</v>
      </c>
      <c r="C18" t="s">
        <v>6</v>
      </c>
      <c r="D18" t="s">
        <v>21</v>
      </c>
      <c r="E18">
        <v>34</v>
      </c>
      <c r="F18" t="s">
        <v>209</v>
      </c>
      <c r="G18" s="1">
        <v>44660</v>
      </c>
      <c r="H18" s="3">
        <v>49630</v>
      </c>
      <c r="I18" s="3" t="s">
        <v>212</v>
      </c>
    </row>
    <row r="19" spans="2:9" ht="13.5" customHeight="1">
      <c r="B19" t="s">
        <v>28</v>
      </c>
      <c r="C19" t="s">
        <v>7</v>
      </c>
      <c r="D19" t="s">
        <v>24</v>
      </c>
      <c r="E19">
        <v>36</v>
      </c>
      <c r="F19" t="s">
        <v>208</v>
      </c>
      <c r="G19" s="1">
        <v>43958</v>
      </c>
      <c r="H19" s="3">
        <v>118840</v>
      </c>
      <c r="I19" s="3" t="s">
        <v>212</v>
      </c>
    </row>
    <row r="20" spans="2:9" ht="13.5" customHeight="1">
      <c r="B20" t="s">
        <v>167</v>
      </c>
      <c r="C20" t="s">
        <v>7</v>
      </c>
      <c r="D20" t="s">
        <v>24</v>
      </c>
      <c r="E20">
        <v>30</v>
      </c>
      <c r="F20" t="s">
        <v>208</v>
      </c>
      <c r="G20" s="1">
        <v>44789</v>
      </c>
      <c r="H20" s="3">
        <v>69710</v>
      </c>
      <c r="I20" s="3" t="s">
        <v>212</v>
      </c>
    </row>
    <row r="21" spans="2:9" ht="13.5" customHeight="1">
      <c r="B21" t="s">
        <v>183</v>
      </c>
      <c r="C21" t="s">
        <v>7</v>
      </c>
      <c r="D21" t="s">
        <v>18</v>
      </c>
      <c r="E21">
        <v>20</v>
      </c>
      <c r="F21" t="s">
        <v>208</v>
      </c>
      <c r="G21" s="1">
        <v>44683</v>
      </c>
      <c r="H21" s="3">
        <v>79570</v>
      </c>
      <c r="I21" s="3" t="s">
        <v>212</v>
      </c>
    </row>
    <row r="22" spans="2:9" ht="13.5" customHeight="1">
      <c r="B22" t="s">
        <v>171</v>
      </c>
      <c r="C22" t="s">
        <v>6</v>
      </c>
      <c r="D22" t="s">
        <v>18</v>
      </c>
      <c r="E22">
        <v>22</v>
      </c>
      <c r="F22" t="s">
        <v>206</v>
      </c>
      <c r="G22" s="1">
        <v>44388</v>
      </c>
      <c r="H22" s="3">
        <v>76900</v>
      </c>
      <c r="I22" s="3" t="s">
        <v>212</v>
      </c>
    </row>
    <row r="23" spans="2:9" ht="13.5" customHeight="1">
      <c r="B23" t="s">
        <v>159</v>
      </c>
      <c r="C23" t="s">
        <v>7</v>
      </c>
      <c r="D23" t="s">
        <v>21</v>
      </c>
      <c r="E23">
        <v>27</v>
      </c>
      <c r="F23" t="s">
        <v>208</v>
      </c>
      <c r="G23" s="1">
        <v>44073</v>
      </c>
      <c r="H23" s="3">
        <v>54970</v>
      </c>
      <c r="I23" s="3" t="s">
        <v>212</v>
      </c>
    </row>
    <row r="24" spans="2:9" ht="13.5" customHeight="1">
      <c r="B24" t="s">
        <v>78</v>
      </c>
      <c r="C24" t="s">
        <v>7</v>
      </c>
      <c r="D24" t="s">
        <v>24</v>
      </c>
      <c r="E24">
        <v>37</v>
      </c>
      <c r="F24" t="s">
        <v>209</v>
      </c>
      <c r="G24" s="1">
        <v>44277</v>
      </c>
      <c r="H24" s="3">
        <v>88050</v>
      </c>
      <c r="I24" s="3" t="s">
        <v>212</v>
      </c>
    </row>
    <row r="25" spans="2:9" ht="13.5" customHeight="1">
      <c r="B25" t="s">
        <v>192</v>
      </c>
      <c r="C25" t="s">
        <v>7</v>
      </c>
      <c r="D25" t="s">
        <v>21</v>
      </c>
      <c r="E25">
        <v>43</v>
      </c>
      <c r="F25" t="s">
        <v>208</v>
      </c>
      <c r="G25" s="1">
        <v>44558</v>
      </c>
      <c r="H25" s="3">
        <v>36040</v>
      </c>
      <c r="I25" s="3" t="s">
        <v>212</v>
      </c>
    </row>
    <row r="26" spans="2:9" ht="13.5" customHeight="1">
      <c r="B26" t="s">
        <v>139</v>
      </c>
      <c r="C26" t="s">
        <v>6</v>
      </c>
      <c r="D26" t="s">
        <v>18</v>
      </c>
      <c r="E26">
        <v>42</v>
      </c>
      <c r="F26" t="s">
        <v>210</v>
      </c>
      <c r="G26" s="1">
        <v>44718</v>
      </c>
      <c r="H26" s="3">
        <v>75000</v>
      </c>
      <c r="I26" s="3" t="s">
        <v>212</v>
      </c>
    </row>
    <row r="27" spans="2:9" ht="13.5" customHeight="1">
      <c r="B27" t="s">
        <v>170</v>
      </c>
      <c r="C27" t="s">
        <v>7</v>
      </c>
      <c r="D27" t="s">
        <v>18</v>
      </c>
      <c r="E27">
        <v>35</v>
      </c>
      <c r="F27" t="s">
        <v>208</v>
      </c>
      <c r="G27" s="1">
        <v>44666</v>
      </c>
      <c r="H27" s="3">
        <v>40400</v>
      </c>
      <c r="I27" s="3" t="s">
        <v>212</v>
      </c>
    </row>
    <row r="28" spans="2:9" ht="13.5" customHeight="1">
      <c r="B28" t="s">
        <v>31</v>
      </c>
      <c r="C28" t="s">
        <v>7</v>
      </c>
      <c r="D28" t="s">
        <v>24</v>
      </c>
      <c r="E28">
        <v>24</v>
      </c>
      <c r="F28" t="s">
        <v>208</v>
      </c>
      <c r="G28" s="1">
        <v>44625</v>
      </c>
      <c r="H28" s="3">
        <v>100420</v>
      </c>
      <c r="I28" s="3" t="s">
        <v>212</v>
      </c>
    </row>
    <row r="29" spans="2:9" ht="13.5" customHeight="1">
      <c r="B29" t="s">
        <v>147</v>
      </c>
      <c r="C29" t="s">
        <v>6</v>
      </c>
      <c r="D29" t="s">
        <v>24</v>
      </c>
      <c r="E29">
        <v>31</v>
      </c>
      <c r="F29" t="s">
        <v>208</v>
      </c>
      <c r="G29" s="1">
        <v>44604</v>
      </c>
      <c r="H29" s="3">
        <v>58100</v>
      </c>
      <c r="I29" s="3" t="s">
        <v>212</v>
      </c>
    </row>
    <row r="30" spans="2:9" ht="13.5" customHeight="1">
      <c r="B30" t="s">
        <v>152</v>
      </c>
      <c r="C30" t="s">
        <v>6</v>
      </c>
      <c r="D30" t="s">
        <v>24</v>
      </c>
      <c r="E30">
        <v>44</v>
      </c>
      <c r="F30" t="s">
        <v>208</v>
      </c>
      <c r="G30" s="1">
        <v>44985</v>
      </c>
      <c r="H30" s="3">
        <v>114870</v>
      </c>
      <c r="I30" s="3" t="s">
        <v>212</v>
      </c>
    </row>
    <row r="31" spans="2:9" ht="13.5" customHeight="1">
      <c r="B31" t="s">
        <v>148</v>
      </c>
      <c r="C31" t="s">
        <v>6</v>
      </c>
      <c r="D31" t="s">
        <v>18</v>
      </c>
      <c r="E31">
        <v>32</v>
      </c>
      <c r="F31" t="s">
        <v>208</v>
      </c>
      <c r="G31" s="1">
        <v>44549</v>
      </c>
      <c r="H31" s="3">
        <v>41570</v>
      </c>
      <c r="I31" s="3" t="s">
        <v>212</v>
      </c>
    </row>
    <row r="32" spans="2:9" ht="13.5" customHeight="1">
      <c r="B32" t="s">
        <v>127</v>
      </c>
      <c r="C32" t="s">
        <v>6</v>
      </c>
      <c r="D32" t="s">
        <v>18</v>
      </c>
      <c r="E32">
        <v>30</v>
      </c>
      <c r="F32" t="s">
        <v>208</v>
      </c>
      <c r="G32" s="1">
        <v>44800</v>
      </c>
      <c r="H32" s="3">
        <v>112570</v>
      </c>
      <c r="I32" s="3" t="s">
        <v>212</v>
      </c>
    </row>
    <row r="33" spans="2:9" ht="13.5" customHeight="1">
      <c r="B33" t="s">
        <v>169</v>
      </c>
      <c r="C33" t="s">
        <v>7</v>
      </c>
      <c r="D33" t="s">
        <v>18</v>
      </c>
      <c r="E33">
        <v>26</v>
      </c>
      <c r="F33" t="s">
        <v>208</v>
      </c>
      <c r="G33" s="1">
        <v>44164</v>
      </c>
      <c r="H33" s="3">
        <v>47360</v>
      </c>
      <c r="I33" s="3" t="s">
        <v>212</v>
      </c>
    </row>
    <row r="34" spans="2:9" ht="13.5" customHeight="1">
      <c r="B34" t="s">
        <v>16</v>
      </c>
      <c r="C34" t="s">
        <v>6</v>
      </c>
      <c r="D34" t="s">
        <v>12</v>
      </c>
      <c r="E34">
        <v>21</v>
      </c>
      <c r="F34" t="s">
        <v>208</v>
      </c>
      <c r="G34" s="1">
        <v>44256</v>
      </c>
      <c r="H34" s="3">
        <v>65920</v>
      </c>
      <c r="I34" s="3" t="s">
        <v>212</v>
      </c>
    </row>
    <row r="35" spans="2:9" ht="13.5" customHeight="1">
      <c r="B35" t="s">
        <v>187</v>
      </c>
      <c r="C35" t="s">
        <v>6</v>
      </c>
      <c r="D35" t="s">
        <v>18</v>
      </c>
      <c r="E35">
        <v>28</v>
      </c>
      <c r="F35" t="s">
        <v>208</v>
      </c>
      <c r="G35" s="1">
        <v>44571</v>
      </c>
      <c r="H35" s="3">
        <v>99970</v>
      </c>
      <c r="I35" s="3" t="s">
        <v>212</v>
      </c>
    </row>
    <row r="36" spans="2:9" ht="13.5" customHeight="1">
      <c r="B36" t="s">
        <v>47</v>
      </c>
      <c r="C36" t="s">
        <v>6</v>
      </c>
      <c r="D36" t="s">
        <v>24</v>
      </c>
      <c r="E36">
        <v>25</v>
      </c>
      <c r="F36" t="s">
        <v>206</v>
      </c>
      <c r="G36" s="1">
        <v>44633</v>
      </c>
      <c r="H36" s="3">
        <v>80700</v>
      </c>
      <c r="I36" s="3" t="s">
        <v>212</v>
      </c>
    </row>
    <row r="37" spans="2:9" ht="13.5" customHeight="1">
      <c r="B37" t="s">
        <v>84</v>
      </c>
      <c r="C37" t="s">
        <v>7</v>
      </c>
      <c r="D37" t="s">
        <v>12</v>
      </c>
      <c r="E37">
        <v>24</v>
      </c>
      <c r="F37" t="s">
        <v>209</v>
      </c>
      <c r="G37" s="1">
        <v>44375</v>
      </c>
      <c r="H37" s="3">
        <v>52610</v>
      </c>
      <c r="I37" s="3" t="s">
        <v>212</v>
      </c>
    </row>
    <row r="38" spans="2:9" ht="13.5" customHeight="1">
      <c r="B38" t="s">
        <v>140</v>
      </c>
      <c r="C38" t="s">
        <v>7</v>
      </c>
      <c r="D38" t="s">
        <v>24</v>
      </c>
      <c r="E38">
        <v>29</v>
      </c>
      <c r="F38" t="s">
        <v>209</v>
      </c>
      <c r="G38" s="1">
        <v>44119</v>
      </c>
      <c r="H38" s="3">
        <v>112110</v>
      </c>
      <c r="I38" s="3" t="s">
        <v>212</v>
      </c>
    </row>
    <row r="39" spans="2:9" ht="13.5" customHeight="1">
      <c r="B39" t="s">
        <v>32</v>
      </c>
      <c r="C39" t="s">
        <v>6</v>
      </c>
      <c r="D39" t="s">
        <v>15</v>
      </c>
      <c r="E39">
        <v>27</v>
      </c>
      <c r="F39" t="s">
        <v>208</v>
      </c>
      <c r="G39" s="1">
        <v>44061</v>
      </c>
      <c r="H39" s="3">
        <v>119110</v>
      </c>
      <c r="I39" s="3" t="s">
        <v>212</v>
      </c>
    </row>
    <row r="40" spans="2:9" ht="13.5" customHeight="1">
      <c r="B40" t="s">
        <v>113</v>
      </c>
      <c r="C40" t="s">
        <v>7</v>
      </c>
      <c r="D40" t="s">
        <v>21</v>
      </c>
      <c r="E40">
        <v>22</v>
      </c>
      <c r="F40" t="s">
        <v>206</v>
      </c>
      <c r="G40" s="1">
        <v>44384</v>
      </c>
      <c r="H40" s="3">
        <v>112780</v>
      </c>
      <c r="I40" s="3" t="s">
        <v>212</v>
      </c>
    </row>
    <row r="41" spans="2:9" ht="13.5" customHeight="1">
      <c r="B41" t="s">
        <v>67</v>
      </c>
      <c r="C41" t="s">
        <v>6</v>
      </c>
      <c r="D41" t="s">
        <v>18</v>
      </c>
      <c r="E41">
        <v>36</v>
      </c>
      <c r="F41" t="s">
        <v>208</v>
      </c>
      <c r="G41" s="1">
        <v>44023</v>
      </c>
      <c r="H41" s="3">
        <v>114890</v>
      </c>
      <c r="I41" s="3" t="s">
        <v>212</v>
      </c>
    </row>
    <row r="42" spans="2:9" ht="13.5" customHeight="1">
      <c r="B42" t="s">
        <v>186</v>
      </c>
      <c r="C42" t="s">
        <v>7</v>
      </c>
      <c r="D42" t="s">
        <v>12</v>
      </c>
      <c r="E42">
        <v>27</v>
      </c>
      <c r="F42" t="s">
        <v>208</v>
      </c>
      <c r="G42" s="1">
        <v>44506</v>
      </c>
      <c r="H42" s="3">
        <v>48980</v>
      </c>
      <c r="I42" s="3" t="s">
        <v>212</v>
      </c>
    </row>
    <row r="43" spans="2:9" ht="13.5" customHeight="1">
      <c r="B43" t="s">
        <v>158</v>
      </c>
      <c r="C43" t="s">
        <v>7</v>
      </c>
      <c r="D43" t="s">
        <v>15</v>
      </c>
      <c r="E43">
        <v>21</v>
      </c>
      <c r="F43" t="s">
        <v>208</v>
      </c>
      <c r="G43" s="1">
        <v>44180</v>
      </c>
      <c r="H43" s="3">
        <v>75880</v>
      </c>
      <c r="I43" s="3" t="s">
        <v>212</v>
      </c>
    </row>
    <row r="44" spans="2:9" ht="13.5" customHeight="1">
      <c r="B44" t="s">
        <v>35</v>
      </c>
      <c r="C44" t="s">
        <v>6</v>
      </c>
      <c r="D44" t="s">
        <v>21</v>
      </c>
      <c r="E44">
        <v>28</v>
      </c>
      <c r="F44" t="s">
        <v>208</v>
      </c>
      <c r="G44" s="1">
        <v>44296</v>
      </c>
      <c r="H44" s="3">
        <v>53240</v>
      </c>
      <c r="I44" s="3" t="s">
        <v>212</v>
      </c>
    </row>
    <row r="45" spans="2:9" ht="13.5" customHeight="1">
      <c r="B45" t="s">
        <v>178</v>
      </c>
      <c r="C45" t="s">
        <v>6</v>
      </c>
      <c r="D45" t="s">
        <v>12</v>
      </c>
      <c r="E45">
        <v>34</v>
      </c>
      <c r="F45" t="s">
        <v>208</v>
      </c>
      <c r="G45" s="1">
        <v>44397</v>
      </c>
      <c r="H45" s="3">
        <v>85000</v>
      </c>
      <c r="I45" s="3" t="s">
        <v>212</v>
      </c>
    </row>
    <row r="46" spans="2:9" ht="13.5" customHeight="1">
      <c r="B46" t="s">
        <v>172</v>
      </c>
      <c r="C46" t="s">
        <v>6</v>
      </c>
      <c r="D46" t="s">
        <v>24</v>
      </c>
      <c r="E46">
        <v>21</v>
      </c>
      <c r="F46" t="s">
        <v>208</v>
      </c>
      <c r="G46" s="1">
        <v>44619</v>
      </c>
      <c r="H46" s="3">
        <v>33920</v>
      </c>
      <c r="I46" s="3" t="s">
        <v>212</v>
      </c>
    </row>
    <row r="47" spans="2:9" ht="13.5" customHeight="1">
      <c r="B47" t="s">
        <v>87</v>
      </c>
      <c r="C47" t="s">
        <v>6</v>
      </c>
      <c r="D47" t="s">
        <v>24</v>
      </c>
      <c r="E47">
        <v>33</v>
      </c>
      <c r="F47" t="s">
        <v>208</v>
      </c>
      <c r="G47" s="1">
        <v>44253</v>
      </c>
      <c r="H47" s="3">
        <v>75280</v>
      </c>
      <c r="I47" s="3" t="s">
        <v>212</v>
      </c>
    </row>
    <row r="48" spans="2:9" ht="13.5" customHeight="1">
      <c r="B48" t="s">
        <v>114</v>
      </c>
      <c r="C48" t="s">
        <v>6</v>
      </c>
      <c r="D48" t="s">
        <v>12</v>
      </c>
      <c r="E48">
        <v>34</v>
      </c>
      <c r="F48" t="s">
        <v>208</v>
      </c>
      <c r="G48" s="1">
        <v>44594</v>
      </c>
      <c r="H48" s="3">
        <v>58940</v>
      </c>
      <c r="I48" s="3" t="s">
        <v>212</v>
      </c>
    </row>
    <row r="49" spans="2:9" ht="13.5" customHeight="1">
      <c r="B49" t="s">
        <v>168</v>
      </c>
      <c r="C49" t="s">
        <v>6</v>
      </c>
      <c r="D49" t="s">
        <v>18</v>
      </c>
      <c r="E49">
        <v>28</v>
      </c>
      <c r="F49" t="s">
        <v>208</v>
      </c>
      <c r="G49" s="1">
        <v>44425</v>
      </c>
      <c r="H49" s="3">
        <v>104770</v>
      </c>
      <c r="I49" s="3" t="s">
        <v>212</v>
      </c>
    </row>
    <row r="50" spans="2:9" ht="13.5" customHeight="1">
      <c r="B50" t="s">
        <v>165</v>
      </c>
      <c r="C50" t="s">
        <v>7</v>
      </c>
      <c r="D50" t="s">
        <v>18</v>
      </c>
      <c r="E50">
        <v>21</v>
      </c>
      <c r="F50" t="s">
        <v>208</v>
      </c>
      <c r="G50" s="1">
        <v>44701</v>
      </c>
      <c r="H50" s="3">
        <v>57090</v>
      </c>
      <c r="I50" s="3" t="s">
        <v>212</v>
      </c>
    </row>
    <row r="51" spans="2:9" ht="13.5" customHeight="1">
      <c r="B51" t="s">
        <v>102</v>
      </c>
      <c r="C51" t="s">
        <v>7</v>
      </c>
      <c r="D51" t="s">
        <v>12</v>
      </c>
      <c r="E51">
        <v>27</v>
      </c>
      <c r="F51" t="s">
        <v>206</v>
      </c>
      <c r="G51" s="1">
        <v>44174</v>
      </c>
      <c r="H51" s="3">
        <v>91650</v>
      </c>
      <c r="I51" s="3" t="s">
        <v>212</v>
      </c>
    </row>
    <row r="52" spans="2:9" ht="13.5" customHeight="1">
      <c r="B52" t="s">
        <v>52</v>
      </c>
      <c r="C52" t="s">
        <v>7</v>
      </c>
      <c r="D52" t="s">
        <v>12</v>
      </c>
      <c r="E52">
        <v>42</v>
      </c>
      <c r="F52" t="s">
        <v>209</v>
      </c>
      <c r="G52" s="1">
        <v>44670</v>
      </c>
      <c r="H52" s="3">
        <v>70270</v>
      </c>
      <c r="I52" s="3" t="s">
        <v>212</v>
      </c>
    </row>
    <row r="53" spans="2:9" ht="13.5" customHeight="1">
      <c r="B53" t="s">
        <v>95</v>
      </c>
      <c r="C53" t="s">
        <v>6</v>
      </c>
      <c r="D53" t="s">
        <v>12</v>
      </c>
      <c r="E53">
        <v>28</v>
      </c>
      <c r="F53" t="s">
        <v>208</v>
      </c>
      <c r="G53" s="1">
        <v>44124</v>
      </c>
      <c r="H53" s="3">
        <v>75970</v>
      </c>
      <c r="I53" s="3" t="s">
        <v>212</v>
      </c>
    </row>
    <row r="54" spans="2:9" ht="13.5" customHeight="1">
      <c r="B54" t="s">
        <v>105</v>
      </c>
      <c r="C54" t="s">
        <v>8</v>
      </c>
      <c r="D54" t="s">
        <v>24</v>
      </c>
      <c r="E54">
        <v>27</v>
      </c>
      <c r="F54" t="s">
        <v>206</v>
      </c>
      <c r="G54" s="1">
        <v>44212</v>
      </c>
      <c r="H54" s="3">
        <v>90700</v>
      </c>
      <c r="I54" s="3" t="s">
        <v>212</v>
      </c>
    </row>
    <row r="55" spans="2:9" ht="13.5" customHeight="1">
      <c r="B55" t="s">
        <v>130</v>
      </c>
      <c r="C55" t="s">
        <v>7</v>
      </c>
      <c r="D55" t="s">
        <v>18</v>
      </c>
      <c r="E55">
        <v>30</v>
      </c>
      <c r="F55" t="s">
        <v>208</v>
      </c>
      <c r="G55" s="1">
        <v>44607</v>
      </c>
      <c r="H55" s="3">
        <v>60570</v>
      </c>
      <c r="I55" s="3" t="s">
        <v>212</v>
      </c>
    </row>
    <row r="56" spans="2:9" ht="13.5" customHeight="1">
      <c r="B56" t="s">
        <v>20</v>
      </c>
      <c r="C56" t="s">
        <v>7</v>
      </c>
      <c r="D56" t="s">
        <v>18</v>
      </c>
      <c r="E56">
        <v>33</v>
      </c>
      <c r="F56" t="s">
        <v>208</v>
      </c>
      <c r="G56" s="1">
        <v>44103</v>
      </c>
      <c r="H56" s="3">
        <v>115920</v>
      </c>
      <c r="I56" s="3" t="s">
        <v>212</v>
      </c>
    </row>
    <row r="57" spans="2:9" ht="13.5" customHeight="1">
      <c r="B57" t="s">
        <v>111</v>
      </c>
      <c r="C57" t="s">
        <v>6</v>
      </c>
      <c r="D57" t="s">
        <v>12</v>
      </c>
      <c r="E57">
        <v>33</v>
      </c>
      <c r="F57" t="s">
        <v>208</v>
      </c>
      <c r="G57" s="1">
        <v>44006</v>
      </c>
      <c r="H57" s="3">
        <v>65360</v>
      </c>
      <c r="I57" s="3" t="s">
        <v>212</v>
      </c>
    </row>
    <row r="58" spans="2:9" ht="13.5" customHeight="1">
      <c r="B58" t="s">
        <v>184</v>
      </c>
      <c r="C58" t="s">
        <v>8</v>
      </c>
      <c r="D58" t="s">
        <v>12</v>
      </c>
      <c r="E58">
        <v>30</v>
      </c>
      <c r="F58" t="s">
        <v>208</v>
      </c>
      <c r="G58" s="1">
        <v>44535</v>
      </c>
      <c r="H58" s="3">
        <v>64000</v>
      </c>
      <c r="I58" s="3" t="s">
        <v>212</v>
      </c>
    </row>
    <row r="59" spans="2:9" ht="13.5" customHeight="1">
      <c r="B59" t="s">
        <v>63</v>
      </c>
      <c r="C59" t="s">
        <v>6</v>
      </c>
      <c r="D59" t="s">
        <v>12</v>
      </c>
      <c r="E59">
        <v>34</v>
      </c>
      <c r="F59" t="s">
        <v>208</v>
      </c>
      <c r="G59" s="1">
        <v>44383</v>
      </c>
      <c r="H59" s="3">
        <v>92450</v>
      </c>
      <c r="I59" s="3" t="s">
        <v>212</v>
      </c>
    </row>
    <row r="60" spans="2:9" ht="13.5" customHeight="1">
      <c r="B60" t="s">
        <v>27</v>
      </c>
      <c r="C60" t="s">
        <v>7</v>
      </c>
      <c r="D60" t="s">
        <v>24</v>
      </c>
      <c r="E60">
        <v>31</v>
      </c>
      <c r="F60" t="s">
        <v>208</v>
      </c>
      <c r="G60" s="1">
        <v>44450</v>
      </c>
      <c r="H60" s="3">
        <v>48950</v>
      </c>
      <c r="I60" s="3" t="s">
        <v>212</v>
      </c>
    </row>
    <row r="61" spans="2:9" ht="13.5" customHeight="1">
      <c r="B61" t="s">
        <v>116</v>
      </c>
      <c r="C61" t="s">
        <v>6</v>
      </c>
      <c r="D61" t="s">
        <v>24</v>
      </c>
      <c r="E61">
        <v>27</v>
      </c>
      <c r="F61" t="s">
        <v>208</v>
      </c>
      <c r="G61" s="1">
        <v>44625</v>
      </c>
      <c r="H61" s="3">
        <v>83750</v>
      </c>
      <c r="I61" s="3" t="s">
        <v>212</v>
      </c>
    </row>
    <row r="62" spans="2:9" ht="13.5" customHeight="1">
      <c r="B62" t="s">
        <v>81</v>
      </c>
      <c r="C62" t="s">
        <v>6</v>
      </c>
      <c r="D62" t="s">
        <v>24</v>
      </c>
      <c r="E62">
        <v>40</v>
      </c>
      <c r="F62" t="s">
        <v>208</v>
      </c>
      <c r="G62" s="1">
        <v>44276</v>
      </c>
      <c r="H62" s="3">
        <v>87620</v>
      </c>
      <c r="I62" s="3" t="s">
        <v>212</v>
      </c>
    </row>
    <row r="63" spans="2:9" ht="13.5" customHeight="1">
      <c r="B63" t="s">
        <v>66</v>
      </c>
      <c r="C63" t="s">
        <v>6</v>
      </c>
      <c r="D63" t="s">
        <v>21</v>
      </c>
      <c r="E63">
        <v>20</v>
      </c>
      <c r="F63" t="s">
        <v>209</v>
      </c>
      <c r="G63" s="1">
        <v>44476</v>
      </c>
      <c r="H63" s="3">
        <v>68900</v>
      </c>
      <c r="I63" s="3" t="s">
        <v>212</v>
      </c>
    </row>
    <row r="64" spans="2:9" ht="13.5" customHeight="1">
      <c r="B64" t="s">
        <v>79</v>
      </c>
      <c r="C64" t="s">
        <v>7</v>
      </c>
      <c r="D64" t="s">
        <v>21</v>
      </c>
      <c r="E64">
        <v>32</v>
      </c>
      <c r="F64" t="s">
        <v>208</v>
      </c>
      <c r="G64" s="1">
        <v>44403</v>
      </c>
      <c r="H64" s="3">
        <v>53540</v>
      </c>
      <c r="I64" s="3" t="s">
        <v>212</v>
      </c>
    </row>
    <row r="65" spans="2:9" ht="13.5" customHeight="1">
      <c r="B65" t="s">
        <v>155</v>
      </c>
      <c r="C65" t="s">
        <v>7</v>
      </c>
      <c r="D65" t="s">
        <v>21</v>
      </c>
      <c r="E65">
        <v>28</v>
      </c>
      <c r="F65" t="s">
        <v>211</v>
      </c>
      <c r="G65" s="1">
        <v>44758</v>
      </c>
      <c r="H65" s="3">
        <v>43510</v>
      </c>
      <c r="I65" s="3" t="s">
        <v>212</v>
      </c>
    </row>
    <row r="66" spans="2:9" ht="13.5" customHeight="1">
      <c r="B66" t="s">
        <v>163</v>
      </c>
      <c r="C66" t="s">
        <v>6</v>
      </c>
      <c r="D66" t="s">
        <v>21</v>
      </c>
      <c r="E66">
        <v>38</v>
      </c>
      <c r="F66" t="s">
        <v>210</v>
      </c>
      <c r="G66" s="1">
        <v>44316</v>
      </c>
      <c r="H66" s="3">
        <v>109160</v>
      </c>
      <c r="I66" s="3" t="s">
        <v>212</v>
      </c>
    </row>
    <row r="67" spans="2:9" ht="13.5" customHeight="1">
      <c r="B67" t="s">
        <v>42</v>
      </c>
      <c r="C67" t="s">
        <v>7</v>
      </c>
      <c r="D67" t="s">
        <v>18</v>
      </c>
      <c r="E67">
        <v>40</v>
      </c>
      <c r="F67" t="s">
        <v>208</v>
      </c>
      <c r="G67" s="1">
        <v>44204</v>
      </c>
      <c r="H67" s="3">
        <v>99750</v>
      </c>
      <c r="I67" s="3" t="s">
        <v>212</v>
      </c>
    </row>
    <row r="68" spans="2:9" ht="13.5" customHeight="1">
      <c r="B68" t="s">
        <v>96</v>
      </c>
      <c r="C68" t="s">
        <v>6</v>
      </c>
      <c r="D68" t="s">
        <v>24</v>
      </c>
      <c r="E68">
        <v>31</v>
      </c>
      <c r="F68" t="s">
        <v>208</v>
      </c>
      <c r="G68" s="1">
        <v>44084</v>
      </c>
      <c r="H68" s="3">
        <v>41980</v>
      </c>
      <c r="I68" s="3" t="s">
        <v>212</v>
      </c>
    </row>
    <row r="69" spans="2:9" ht="13.5" customHeight="1">
      <c r="B69" t="s">
        <v>115</v>
      </c>
      <c r="C69" t="s">
        <v>7</v>
      </c>
      <c r="D69" t="s">
        <v>12</v>
      </c>
      <c r="E69">
        <v>36</v>
      </c>
      <c r="F69" t="s">
        <v>208</v>
      </c>
      <c r="G69" s="1">
        <v>44272</v>
      </c>
      <c r="H69" s="3">
        <v>71380</v>
      </c>
      <c r="I69" s="3" t="s">
        <v>212</v>
      </c>
    </row>
    <row r="70" spans="2:9" ht="13.5" customHeight="1">
      <c r="B70" t="s">
        <v>94</v>
      </c>
      <c r="C70" t="s">
        <v>7</v>
      </c>
      <c r="D70" t="s">
        <v>18</v>
      </c>
      <c r="E70">
        <v>27</v>
      </c>
      <c r="F70" t="s">
        <v>211</v>
      </c>
      <c r="G70" s="1">
        <v>44547</v>
      </c>
      <c r="H70" s="3">
        <v>113280</v>
      </c>
      <c r="I70" s="3" t="s">
        <v>212</v>
      </c>
    </row>
    <row r="71" spans="2:9" ht="13.5" customHeight="1">
      <c r="B71" t="s">
        <v>124</v>
      </c>
      <c r="C71" t="s">
        <v>6</v>
      </c>
      <c r="D71" t="s">
        <v>12</v>
      </c>
      <c r="E71">
        <v>33</v>
      </c>
      <c r="F71" t="s">
        <v>208</v>
      </c>
      <c r="G71" s="1">
        <v>44747</v>
      </c>
      <c r="H71" s="3">
        <v>86570</v>
      </c>
      <c r="I71" s="3" t="s">
        <v>212</v>
      </c>
    </row>
    <row r="72" spans="2:9" ht="13.5" customHeight="1">
      <c r="B72" t="s">
        <v>55</v>
      </c>
      <c r="C72" t="s">
        <v>7</v>
      </c>
      <c r="D72" t="s">
        <v>18</v>
      </c>
      <c r="E72">
        <v>26</v>
      </c>
      <c r="F72" t="s">
        <v>208</v>
      </c>
      <c r="G72" s="1">
        <v>44350</v>
      </c>
      <c r="H72" s="3">
        <v>53540</v>
      </c>
      <c r="I72" s="3" t="s">
        <v>212</v>
      </c>
    </row>
    <row r="73" spans="2:9" ht="13.5" customHeight="1">
      <c r="B73" t="s">
        <v>97</v>
      </c>
      <c r="C73" t="s">
        <v>7</v>
      </c>
      <c r="D73" t="s">
        <v>24</v>
      </c>
      <c r="E73">
        <v>37</v>
      </c>
      <c r="F73" t="s">
        <v>208</v>
      </c>
      <c r="G73" s="1">
        <v>44640</v>
      </c>
      <c r="H73" s="3">
        <v>69070</v>
      </c>
      <c r="I73" s="3" t="s">
        <v>212</v>
      </c>
    </row>
    <row r="74" spans="2:9" ht="13.5" customHeight="1">
      <c r="B74" t="s">
        <v>103</v>
      </c>
      <c r="C74" t="s">
        <v>6</v>
      </c>
      <c r="D74" t="s">
        <v>12</v>
      </c>
      <c r="E74">
        <v>30</v>
      </c>
      <c r="F74" t="s">
        <v>209</v>
      </c>
      <c r="G74" s="1">
        <v>44328</v>
      </c>
      <c r="H74" s="3">
        <v>67910</v>
      </c>
      <c r="I74" s="3" t="s">
        <v>212</v>
      </c>
    </row>
    <row r="75" spans="2:9" ht="13.5" customHeight="1">
      <c r="B75" t="s">
        <v>151</v>
      </c>
      <c r="C75" t="s">
        <v>7</v>
      </c>
      <c r="D75" t="s">
        <v>24</v>
      </c>
      <c r="E75">
        <v>30</v>
      </c>
      <c r="F75" t="s">
        <v>208</v>
      </c>
      <c r="G75" s="1">
        <v>44214</v>
      </c>
      <c r="H75" s="3">
        <v>69120</v>
      </c>
      <c r="I75" s="3" t="s">
        <v>212</v>
      </c>
    </row>
    <row r="76" spans="2:9" ht="13.5" customHeight="1">
      <c r="B76" t="s">
        <v>117</v>
      </c>
      <c r="C76" t="s">
        <v>6</v>
      </c>
      <c r="D76" t="s">
        <v>12</v>
      </c>
      <c r="E76">
        <v>34</v>
      </c>
      <c r="F76" t="s">
        <v>208</v>
      </c>
      <c r="G76" s="1">
        <v>44550</v>
      </c>
      <c r="H76" s="3">
        <v>60130</v>
      </c>
      <c r="I76" s="3" t="s">
        <v>212</v>
      </c>
    </row>
    <row r="77" spans="2:9" ht="13.5" customHeight="1">
      <c r="B77" t="s">
        <v>157</v>
      </c>
      <c r="C77" t="s">
        <v>7</v>
      </c>
      <c r="D77" t="s">
        <v>18</v>
      </c>
      <c r="E77">
        <v>23</v>
      </c>
      <c r="F77" t="s">
        <v>208</v>
      </c>
      <c r="G77" s="1">
        <v>44378</v>
      </c>
      <c r="H77" s="3">
        <v>106460</v>
      </c>
      <c r="I77" s="3" t="s">
        <v>212</v>
      </c>
    </row>
    <row r="78" spans="2:9" ht="13.5" customHeight="1">
      <c r="B78" t="s">
        <v>23</v>
      </c>
      <c r="C78" t="s">
        <v>6</v>
      </c>
      <c r="D78" t="s">
        <v>15</v>
      </c>
      <c r="E78">
        <v>37</v>
      </c>
      <c r="F78" t="s">
        <v>208</v>
      </c>
      <c r="G78" s="1">
        <v>44389</v>
      </c>
      <c r="H78" s="3">
        <v>118100</v>
      </c>
      <c r="I78" s="3" t="s">
        <v>212</v>
      </c>
    </row>
    <row r="79" spans="2:9" ht="13.5" customHeight="1">
      <c r="B79" t="s">
        <v>156</v>
      </c>
      <c r="C79" t="s">
        <v>6</v>
      </c>
      <c r="D79" t="s">
        <v>18</v>
      </c>
      <c r="E79">
        <v>36</v>
      </c>
      <c r="F79" t="s">
        <v>208</v>
      </c>
      <c r="G79" s="1">
        <v>44468</v>
      </c>
      <c r="H79" s="3">
        <v>78390</v>
      </c>
      <c r="I79" s="3" t="s">
        <v>212</v>
      </c>
    </row>
    <row r="80" spans="2:9" ht="13.5" customHeight="1">
      <c r="B80" t="s">
        <v>160</v>
      </c>
      <c r="C80" t="s">
        <v>6</v>
      </c>
      <c r="D80" t="s">
        <v>18</v>
      </c>
      <c r="E80">
        <v>30</v>
      </c>
      <c r="F80" t="s">
        <v>208</v>
      </c>
      <c r="G80" s="1">
        <v>44789</v>
      </c>
      <c r="H80" s="3">
        <v>114180</v>
      </c>
      <c r="I80" s="3" t="s">
        <v>212</v>
      </c>
    </row>
    <row r="81" spans="2:9" ht="13.5" customHeight="1">
      <c r="B81" t="s">
        <v>161</v>
      </c>
      <c r="C81" t="s">
        <v>6</v>
      </c>
      <c r="D81" t="s">
        <v>18</v>
      </c>
      <c r="E81">
        <v>28</v>
      </c>
      <c r="F81" t="s">
        <v>208</v>
      </c>
      <c r="G81" s="1">
        <v>44590</v>
      </c>
      <c r="H81" s="3">
        <v>104120</v>
      </c>
      <c r="I81" s="3" t="s">
        <v>212</v>
      </c>
    </row>
    <row r="82" spans="2:9" ht="13.5" customHeight="1">
      <c r="B82" t="s">
        <v>126</v>
      </c>
      <c r="C82" t="s">
        <v>7</v>
      </c>
      <c r="D82" t="s">
        <v>18</v>
      </c>
      <c r="E82">
        <v>30</v>
      </c>
      <c r="F82" t="s">
        <v>208</v>
      </c>
      <c r="G82" s="1">
        <v>44640</v>
      </c>
      <c r="H82" s="3">
        <v>67950</v>
      </c>
      <c r="I82" s="3" t="s">
        <v>212</v>
      </c>
    </row>
    <row r="83" spans="2:9" ht="13.5" customHeight="1">
      <c r="B83" t="s">
        <v>176</v>
      </c>
      <c r="C83" t="s">
        <v>6</v>
      </c>
      <c r="D83" t="s">
        <v>24</v>
      </c>
      <c r="E83">
        <v>29</v>
      </c>
      <c r="F83" t="s">
        <v>208</v>
      </c>
      <c r="G83" s="1">
        <v>43962</v>
      </c>
      <c r="H83" s="3">
        <v>34980</v>
      </c>
      <c r="I83" s="3" t="s">
        <v>212</v>
      </c>
    </row>
    <row r="84" spans="2:9" ht="13.5" customHeight="1">
      <c r="B84" t="s">
        <v>77</v>
      </c>
      <c r="C84" t="s">
        <v>6</v>
      </c>
      <c r="D84" t="s">
        <v>24</v>
      </c>
      <c r="E84">
        <v>24</v>
      </c>
      <c r="F84" t="s">
        <v>208</v>
      </c>
      <c r="G84" s="1">
        <v>44087</v>
      </c>
      <c r="H84" s="3">
        <v>62780</v>
      </c>
      <c r="I84" s="3" t="s">
        <v>212</v>
      </c>
    </row>
    <row r="85" spans="2:9" ht="13.5" customHeight="1">
      <c r="B85" t="s">
        <v>91</v>
      </c>
      <c r="C85" t="s">
        <v>7</v>
      </c>
      <c r="D85" t="s">
        <v>24</v>
      </c>
      <c r="E85">
        <v>20</v>
      </c>
      <c r="F85" t="s">
        <v>208</v>
      </c>
      <c r="G85" s="1">
        <v>44397</v>
      </c>
      <c r="H85" s="3">
        <v>107700</v>
      </c>
      <c r="I85" s="3" t="s">
        <v>212</v>
      </c>
    </row>
    <row r="86" spans="2:9" ht="13.5" customHeight="1">
      <c r="B86" t="s">
        <v>10</v>
      </c>
      <c r="C86" t="s">
        <v>7</v>
      </c>
      <c r="D86" t="s">
        <v>21</v>
      </c>
      <c r="E86">
        <v>25</v>
      </c>
      <c r="F86" t="s">
        <v>208</v>
      </c>
      <c r="G86" s="1">
        <v>44322</v>
      </c>
      <c r="H86" s="3">
        <v>65700</v>
      </c>
      <c r="I86" s="3" t="s">
        <v>212</v>
      </c>
    </row>
    <row r="87" spans="2:9" ht="13.5" customHeight="1">
      <c r="B87" t="s">
        <v>39</v>
      </c>
      <c r="C87" t="s">
        <v>6</v>
      </c>
      <c r="D87" t="s">
        <v>24</v>
      </c>
      <c r="E87">
        <v>33</v>
      </c>
      <c r="F87" t="s">
        <v>211</v>
      </c>
      <c r="G87" s="1">
        <v>44313</v>
      </c>
      <c r="H87" s="3">
        <v>75480</v>
      </c>
      <c r="I87" s="3" t="s">
        <v>212</v>
      </c>
    </row>
    <row r="88" spans="2:9" ht="13.5" customHeight="1">
      <c r="B88" t="s">
        <v>146</v>
      </c>
      <c r="C88" t="s">
        <v>7</v>
      </c>
      <c r="D88" t="s">
        <v>24</v>
      </c>
      <c r="E88">
        <v>33</v>
      </c>
      <c r="F88" t="s">
        <v>208</v>
      </c>
      <c r="G88" s="1">
        <v>44448</v>
      </c>
      <c r="H88" s="3">
        <v>53870</v>
      </c>
      <c r="I88" s="3" t="s">
        <v>212</v>
      </c>
    </row>
    <row r="89" spans="2:9" ht="13.5" customHeight="1">
      <c r="B89" t="s">
        <v>173</v>
      </c>
      <c r="C89" t="s">
        <v>6</v>
      </c>
      <c r="D89" t="s">
        <v>21</v>
      </c>
      <c r="E89">
        <v>36</v>
      </c>
      <c r="F89" t="s">
        <v>208</v>
      </c>
      <c r="G89" s="1">
        <v>44433</v>
      </c>
      <c r="H89" s="3">
        <v>78540</v>
      </c>
      <c r="I89" s="3" t="s">
        <v>212</v>
      </c>
    </row>
    <row r="90" spans="2:9" ht="13.5" customHeight="1">
      <c r="B90" t="s">
        <v>189</v>
      </c>
      <c r="C90" t="s">
        <v>7</v>
      </c>
      <c r="D90" t="s">
        <v>18</v>
      </c>
      <c r="E90">
        <v>19</v>
      </c>
      <c r="F90" t="s">
        <v>208</v>
      </c>
      <c r="G90" s="1">
        <v>44218</v>
      </c>
      <c r="H90" s="3">
        <v>58960</v>
      </c>
      <c r="I90" s="3" t="s">
        <v>212</v>
      </c>
    </row>
    <row r="91" spans="2:9" ht="13.5" customHeight="1">
      <c r="B91" t="s">
        <v>153</v>
      </c>
      <c r="C91" t="s">
        <v>7</v>
      </c>
      <c r="D91" t="s">
        <v>18</v>
      </c>
      <c r="E91">
        <v>46</v>
      </c>
      <c r="F91" t="s">
        <v>208</v>
      </c>
      <c r="G91" s="1">
        <v>44697</v>
      </c>
      <c r="H91" s="3">
        <v>70610</v>
      </c>
      <c r="I91" s="3" t="s">
        <v>212</v>
      </c>
    </row>
    <row r="92" spans="2:9" ht="13.5" customHeight="1">
      <c r="B92" t="s">
        <v>38</v>
      </c>
      <c r="C92" t="s">
        <v>7</v>
      </c>
      <c r="D92" t="s">
        <v>12</v>
      </c>
      <c r="E92">
        <v>33</v>
      </c>
      <c r="F92" t="s">
        <v>208</v>
      </c>
      <c r="G92" s="1">
        <v>44181</v>
      </c>
      <c r="H92" s="3">
        <v>59430</v>
      </c>
      <c r="I92" s="3" t="s">
        <v>212</v>
      </c>
    </row>
    <row r="93" spans="2:9" ht="13.5" customHeight="1">
      <c r="B93" t="s">
        <v>145</v>
      </c>
      <c r="C93" t="s">
        <v>7</v>
      </c>
      <c r="D93" t="s">
        <v>18</v>
      </c>
      <c r="E93">
        <v>33</v>
      </c>
      <c r="F93" t="s">
        <v>206</v>
      </c>
      <c r="G93" s="1">
        <v>44640</v>
      </c>
      <c r="H93" s="3">
        <v>48530</v>
      </c>
      <c r="I93" s="3" t="s">
        <v>212</v>
      </c>
    </row>
    <row r="94" spans="2:9" ht="13.5" customHeight="1">
      <c r="B94" t="s">
        <v>177</v>
      </c>
      <c r="C94" t="s">
        <v>6</v>
      </c>
      <c r="D94" t="s">
        <v>24</v>
      </c>
      <c r="E94">
        <v>33</v>
      </c>
      <c r="F94" t="s">
        <v>208</v>
      </c>
      <c r="G94" s="1">
        <v>44129</v>
      </c>
      <c r="H94" s="3">
        <v>96140</v>
      </c>
      <c r="I94" s="3" t="s">
        <v>212</v>
      </c>
    </row>
    <row r="95" spans="2:9" ht="13.5" customHeight="1">
      <c r="B95" t="s">
        <v>221</v>
      </c>
      <c r="C95">
        <f>SUBTOTAL(103,Table2[Gender])</f>
        <v>92</v>
      </c>
      <c r="E95">
        <f>SUBTOTAL(101,Table2[Age])</f>
        <v>30.456521739130402</v>
      </c>
      <c r="H95" s="3">
        <f>SUBTOTAL(109,Table2[Salary])</f>
        <v>7117720</v>
      </c>
    </row>
  </sheetData>
  <conditionalFormatting sqref="B3:B95">
    <cfRule type="duplicateValues" dxfId="1" priority="1"/>
  </conditionalFormatting>
  <conditionalFormatting sqref="G10">
    <cfRule type="duplicateValues" dxfId="0" priority="2"/>
  </conditionalFormatting>
  <pageMargins left="0.7" right="0.7" top="0.75" bottom="0.75" header="0.3" footer="0.3"/>
  <pageSetup paperSize="9" orientation="portrait" horizontalDpi="0" verticalDpi="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1:K103"/>
  <sheetViews>
    <sheetView showGridLines="0" topLeftCell="C1" workbookViewId="0">
      <selection activeCell="T22" sqref="T22"/>
    </sheetView>
  </sheetViews>
  <sheetFormatPr defaultColWidth="9" defaultRowHeight="14.4"/>
  <cols>
    <col min="1" max="1" width="1.77734375" customWidth="1"/>
    <col min="2" max="2" width="3.77734375" customWidth="1"/>
    <col min="3" max="3" width="39" customWidth="1"/>
    <col min="4" max="4" width="9.77734375" customWidth="1"/>
    <col min="5" max="5" width="12.44140625" customWidth="1"/>
    <col min="6" max="6" width="4.6640625" customWidth="1"/>
    <col min="7" max="7" width="11.44140625" customWidth="1"/>
    <col min="8" max="8" width="7.6640625" customWidth="1"/>
    <col min="9" max="9" width="14.109375" customWidth="1"/>
  </cols>
  <sheetData>
    <row r="1" spans="3:11">
      <c r="C1" s="38" t="s">
        <v>232</v>
      </c>
    </row>
    <row r="3" spans="3:11">
      <c r="C3" t="s">
        <v>13</v>
      </c>
      <c r="D3" s="1">
        <v>44686</v>
      </c>
      <c r="E3" t="s">
        <v>24</v>
      </c>
      <c r="F3">
        <v>27</v>
      </c>
      <c r="G3" t="s">
        <v>6</v>
      </c>
      <c r="H3" t="s">
        <v>208</v>
      </c>
      <c r="I3">
        <v>83750</v>
      </c>
    </row>
    <row r="4" spans="3:11">
      <c r="C4" t="s">
        <v>22</v>
      </c>
      <c r="D4" s="1">
        <v>44529</v>
      </c>
      <c r="E4" s="1"/>
      <c r="F4" t="s">
        <v>18</v>
      </c>
      <c r="G4">
        <v>36</v>
      </c>
      <c r="H4" t="s">
        <v>6</v>
      </c>
      <c r="I4" t="s">
        <v>208</v>
      </c>
      <c r="J4">
        <v>78390</v>
      </c>
    </row>
    <row r="5" spans="3:11">
      <c r="C5" t="s">
        <v>25</v>
      </c>
      <c r="D5" s="1">
        <v>44134</v>
      </c>
      <c r="E5" t="s">
        <v>21</v>
      </c>
      <c r="F5">
        <v>27</v>
      </c>
      <c r="G5" t="s">
        <v>7</v>
      </c>
      <c r="H5" t="s">
        <v>208</v>
      </c>
      <c r="I5">
        <v>54970</v>
      </c>
    </row>
    <row r="6" spans="3:11">
      <c r="D6" s="1">
        <v>44758</v>
      </c>
      <c r="E6" t="s">
        <v>18</v>
      </c>
      <c r="F6">
        <v>46</v>
      </c>
      <c r="G6" t="s">
        <v>7</v>
      </c>
      <c r="H6" t="s">
        <v>208</v>
      </c>
      <c r="I6">
        <v>70610</v>
      </c>
      <c r="J6" t="s">
        <v>29</v>
      </c>
    </row>
    <row r="7" spans="3:11">
      <c r="C7" t="s">
        <v>29</v>
      </c>
      <c r="D7">
        <v>44758</v>
      </c>
      <c r="E7" t="s">
        <v>18</v>
      </c>
      <c r="F7">
        <v>46</v>
      </c>
      <c r="G7" t="s">
        <v>7</v>
      </c>
      <c r="H7" t="s">
        <v>208</v>
      </c>
      <c r="I7">
        <v>70610</v>
      </c>
    </row>
    <row r="8" spans="3:11">
      <c r="C8" t="s">
        <v>33</v>
      </c>
      <c r="D8" s="1">
        <v>44273</v>
      </c>
      <c r="E8" t="s">
        <v>24</v>
      </c>
      <c r="F8">
        <v>30</v>
      </c>
      <c r="G8" t="s">
        <v>7</v>
      </c>
      <c r="H8" t="s">
        <v>208</v>
      </c>
      <c r="I8">
        <v>69120</v>
      </c>
    </row>
    <row r="9" spans="3:11">
      <c r="C9" t="s">
        <v>36</v>
      </c>
      <c r="D9" s="1">
        <v>44727</v>
      </c>
      <c r="E9" t="s">
        <v>18</v>
      </c>
      <c r="F9">
        <v>35</v>
      </c>
      <c r="G9" t="s">
        <v>7</v>
      </c>
      <c r="H9" t="s">
        <v>208</v>
      </c>
      <c r="I9">
        <v>40400</v>
      </c>
    </row>
    <row r="10" spans="3:11">
      <c r="C10" t="s">
        <v>41</v>
      </c>
      <c r="D10" s="1">
        <v>44779</v>
      </c>
      <c r="E10" t="s">
        <v>18</v>
      </c>
      <c r="F10">
        <v>42</v>
      </c>
      <c r="G10" t="s">
        <v>6</v>
      </c>
      <c r="H10" t="s">
        <v>210</v>
      </c>
      <c r="I10">
        <v>75000</v>
      </c>
    </row>
    <row r="11" spans="3:11">
      <c r="D11" t="s">
        <v>43</v>
      </c>
      <c r="E11" s="1">
        <v>44333</v>
      </c>
      <c r="F11" t="s">
        <v>12</v>
      </c>
      <c r="H11">
        <v>36</v>
      </c>
      <c r="I11" t="s">
        <v>7</v>
      </c>
      <c r="J11" t="s">
        <v>208</v>
      </c>
      <c r="K11">
        <v>71380</v>
      </c>
    </row>
    <row r="12" spans="3:11">
      <c r="C12" t="s">
        <v>11</v>
      </c>
      <c r="D12" s="1">
        <v>44146</v>
      </c>
      <c r="E12" t="s">
        <v>12</v>
      </c>
      <c r="F12">
        <v>37</v>
      </c>
      <c r="H12" t="s">
        <v>209</v>
      </c>
      <c r="I12">
        <v>115440</v>
      </c>
    </row>
    <row r="13" spans="3:11">
      <c r="C13" t="s">
        <v>11</v>
      </c>
      <c r="D13">
        <v>44146</v>
      </c>
      <c r="E13" t="s">
        <v>12</v>
      </c>
      <c r="F13">
        <v>37</v>
      </c>
      <c r="H13" t="s">
        <v>209</v>
      </c>
      <c r="I13">
        <v>115440</v>
      </c>
    </row>
    <row r="14" spans="3:11">
      <c r="C14" t="s">
        <v>44</v>
      </c>
      <c r="D14" s="1">
        <v>44630</v>
      </c>
      <c r="E14" s="1"/>
      <c r="F14" t="s">
        <v>18</v>
      </c>
      <c r="G14">
        <v>28</v>
      </c>
      <c r="H14" t="s">
        <v>6</v>
      </c>
      <c r="I14" t="s">
        <v>208</v>
      </c>
      <c r="J14">
        <v>99970</v>
      </c>
    </row>
    <row r="15" spans="3:11">
      <c r="C15" t="s">
        <v>45</v>
      </c>
      <c r="D15" s="1">
        <v>44180</v>
      </c>
      <c r="E15" t="s">
        <v>24</v>
      </c>
      <c r="F15">
        <v>29</v>
      </c>
      <c r="G15" t="s">
        <v>7</v>
      </c>
      <c r="H15" t="s">
        <v>209</v>
      </c>
      <c r="I15">
        <v>112110</v>
      </c>
    </row>
    <row r="16" spans="3:11">
      <c r="C16" t="s">
        <v>46</v>
      </c>
      <c r="D16" s="1">
        <v>44185</v>
      </c>
      <c r="E16" t="s">
        <v>12</v>
      </c>
      <c r="F16">
        <v>28</v>
      </c>
      <c r="G16" t="s">
        <v>6</v>
      </c>
      <c r="H16" t="s">
        <v>208</v>
      </c>
      <c r="I16">
        <v>75970</v>
      </c>
    </row>
    <row r="17" spans="3:10">
      <c r="D17" s="1">
        <v>44620</v>
      </c>
      <c r="E17" t="s">
        <v>21</v>
      </c>
      <c r="F17">
        <v>43</v>
      </c>
      <c r="G17" t="s">
        <v>7</v>
      </c>
      <c r="H17" t="s">
        <v>208</v>
      </c>
      <c r="I17">
        <v>36040</v>
      </c>
      <c r="J17" t="s">
        <v>48</v>
      </c>
    </row>
    <row r="18" spans="3:10">
      <c r="D18" s="1">
        <v>44663</v>
      </c>
      <c r="E18" t="s">
        <v>24</v>
      </c>
      <c r="F18">
        <v>31</v>
      </c>
      <c r="G18" t="s">
        <v>6</v>
      </c>
      <c r="H18" t="s">
        <v>208</v>
      </c>
      <c r="I18">
        <v>58100</v>
      </c>
      <c r="J18" t="s">
        <v>49</v>
      </c>
    </row>
    <row r="19" spans="3:10">
      <c r="D19" s="1">
        <v>44374</v>
      </c>
      <c r="E19" t="s">
        <v>24</v>
      </c>
      <c r="F19">
        <v>33</v>
      </c>
      <c r="G19" t="s">
        <v>6</v>
      </c>
      <c r="H19" t="s">
        <v>211</v>
      </c>
      <c r="I19">
        <v>75480</v>
      </c>
      <c r="J19" t="s">
        <v>50</v>
      </c>
    </row>
    <row r="20" spans="3:10">
      <c r="C20" t="s">
        <v>51</v>
      </c>
      <c r="D20" s="1">
        <v>44381</v>
      </c>
      <c r="E20" t="s">
        <v>24</v>
      </c>
      <c r="F20">
        <v>40</v>
      </c>
      <c r="G20" t="s">
        <v>6</v>
      </c>
      <c r="H20" t="s">
        <v>208</v>
      </c>
      <c r="I20">
        <v>104410</v>
      </c>
    </row>
    <row r="21" spans="3:10">
      <c r="C21" t="s">
        <v>53</v>
      </c>
      <c r="D21" s="1">
        <v>44649</v>
      </c>
      <c r="E21" t="s">
        <v>18</v>
      </c>
      <c r="F21">
        <v>28</v>
      </c>
      <c r="G21" t="s">
        <v>6</v>
      </c>
      <c r="H21" t="s">
        <v>208</v>
      </c>
      <c r="I21">
        <v>104120</v>
      </c>
    </row>
    <row r="22" spans="3:10">
      <c r="C22" t="s">
        <v>54</v>
      </c>
      <c r="D22" s="1">
        <v>44338</v>
      </c>
      <c r="E22" t="s">
        <v>24</v>
      </c>
      <c r="F22">
        <v>37</v>
      </c>
      <c r="G22" t="s">
        <v>7</v>
      </c>
      <c r="H22" t="s">
        <v>209</v>
      </c>
      <c r="I22">
        <v>88050</v>
      </c>
    </row>
    <row r="23" spans="3:10">
      <c r="C23" t="s">
        <v>56</v>
      </c>
      <c r="D23" s="1">
        <v>44686</v>
      </c>
      <c r="E23" s="1"/>
      <c r="F23" t="s">
        <v>24</v>
      </c>
      <c r="G23">
        <v>24</v>
      </c>
      <c r="H23" t="s">
        <v>7</v>
      </c>
      <c r="I23" t="s">
        <v>208</v>
      </c>
      <c r="J23">
        <v>100420</v>
      </c>
    </row>
    <row r="24" spans="3:10">
      <c r="C24" t="s">
        <v>57</v>
      </c>
      <c r="D24" s="1">
        <v>44606</v>
      </c>
      <c r="E24" t="s">
        <v>12</v>
      </c>
      <c r="F24">
        <v>30</v>
      </c>
      <c r="G24" t="s">
        <v>7</v>
      </c>
      <c r="H24" t="s">
        <v>208</v>
      </c>
      <c r="I24">
        <v>96800</v>
      </c>
    </row>
    <row r="25" spans="3:10">
      <c r="C25" t="s">
        <v>58</v>
      </c>
      <c r="D25" s="1">
        <v>44611</v>
      </c>
      <c r="E25" t="s">
        <v>18</v>
      </c>
      <c r="F25">
        <v>32</v>
      </c>
      <c r="G25" t="s">
        <v>6</v>
      </c>
      <c r="H25" t="s">
        <v>208</v>
      </c>
      <c r="I25">
        <v>41570</v>
      </c>
    </row>
    <row r="26" spans="3:10">
      <c r="C26" t="s">
        <v>59</v>
      </c>
      <c r="D26" s="1">
        <v>44597</v>
      </c>
      <c r="E26" t="s">
        <v>12</v>
      </c>
      <c r="F26">
        <v>30</v>
      </c>
      <c r="H26" t="s">
        <v>208</v>
      </c>
      <c r="I26">
        <v>64000</v>
      </c>
    </row>
    <row r="27" spans="3:10">
      <c r="C27" t="s">
        <v>64</v>
      </c>
      <c r="D27" s="1">
        <v>44225</v>
      </c>
      <c r="E27" t="s">
        <v>18</v>
      </c>
      <c r="F27">
        <v>26</v>
      </c>
      <c r="G27" t="s">
        <v>7</v>
      </c>
      <c r="H27" t="s">
        <v>208</v>
      </c>
      <c r="I27">
        <v>47360</v>
      </c>
    </row>
    <row r="28" spans="3:10">
      <c r="C28" t="s">
        <v>65</v>
      </c>
      <c r="D28" s="1">
        <v>44271</v>
      </c>
      <c r="E28" t="s">
        <v>24</v>
      </c>
      <c r="F28">
        <v>26</v>
      </c>
      <c r="H28" t="s">
        <v>206</v>
      </c>
      <c r="I28">
        <v>90700</v>
      </c>
    </row>
    <row r="29" spans="3:10">
      <c r="C29" t="s">
        <v>68</v>
      </c>
      <c r="D29" s="1">
        <v>44145</v>
      </c>
      <c r="E29" t="s">
        <v>24</v>
      </c>
      <c r="F29">
        <v>31</v>
      </c>
      <c r="G29" t="s">
        <v>6</v>
      </c>
      <c r="H29" t="s">
        <v>208</v>
      </c>
      <c r="I29">
        <v>41980</v>
      </c>
    </row>
    <row r="30" spans="3:10">
      <c r="C30" t="s">
        <v>69</v>
      </c>
      <c r="D30" s="1">
        <v>44820</v>
      </c>
      <c r="E30" t="s">
        <v>21</v>
      </c>
      <c r="F30">
        <v>28</v>
      </c>
      <c r="G30" t="s">
        <v>7</v>
      </c>
      <c r="H30" t="s">
        <v>211</v>
      </c>
      <c r="I30">
        <v>43510</v>
      </c>
    </row>
    <row r="31" spans="3:10">
      <c r="C31" t="s">
        <v>70</v>
      </c>
      <c r="D31" s="1">
        <v>44724</v>
      </c>
      <c r="E31" t="s">
        <v>18</v>
      </c>
      <c r="F31">
        <v>31</v>
      </c>
      <c r="G31" t="s">
        <v>7</v>
      </c>
      <c r="H31" t="s">
        <v>208</v>
      </c>
      <c r="I31">
        <v>103550</v>
      </c>
    </row>
    <row r="32" spans="3:10">
      <c r="C32" t="s">
        <v>71</v>
      </c>
      <c r="D32" s="1">
        <v>44701</v>
      </c>
      <c r="E32" t="s">
        <v>18</v>
      </c>
      <c r="F32">
        <v>30</v>
      </c>
      <c r="G32" t="s">
        <v>7</v>
      </c>
      <c r="H32" t="s">
        <v>208</v>
      </c>
      <c r="I32">
        <v>67950</v>
      </c>
    </row>
    <row r="33" spans="3:9">
      <c r="C33" t="s">
        <v>72</v>
      </c>
      <c r="D33" s="1">
        <v>44312</v>
      </c>
      <c r="E33" t="s">
        <v>24</v>
      </c>
      <c r="F33">
        <v>33</v>
      </c>
      <c r="G33" t="s">
        <v>6</v>
      </c>
      <c r="H33" t="s">
        <v>208</v>
      </c>
      <c r="I33">
        <v>75280</v>
      </c>
    </row>
    <row r="34" spans="3:9">
      <c r="C34" t="s">
        <v>73</v>
      </c>
      <c r="D34" s="1">
        <v>44236</v>
      </c>
      <c r="E34" t="s">
        <v>12</v>
      </c>
      <c r="F34">
        <v>27</v>
      </c>
      <c r="G34" t="s">
        <v>7</v>
      </c>
      <c r="H34" t="s">
        <v>206</v>
      </c>
      <c r="I34">
        <v>91650</v>
      </c>
    </row>
    <row r="35" spans="3:9">
      <c r="C35" t="s">
        <v>74</v>
      </c>
      <c r="D35" s="1">
        <v>44701</v>
      </c>
      <c r="E35" t="s">
        <v>18</v>
      </c>
      <c r="F35">
        <v>33</v>
      </c>
      <c r="G35" t="s">
        <v>7</v>
      </c>
      <c r="H35" t="s">
        <v>206</v>
      </c>
      <c r="I35">
        <v>48530</v>
      </c>
    </row>
    <row r="36" spans="3:9">
      <c r="C36" t="s">
        <v>74</v>
      </c>
      <c r="D36">
        <v>44701</v>
      </c>
      <c r="E36" t="s">
        <v>18</v>
      </c>
      <c r="F36">
        <v>33</v>
      </c>
      <c r="G36" t="s">
        <v>7</v>
      </c>
      <c r="H36" t="s">
        <v>206</v>
      </c>
      <c r="I36">
        <v>48530</v>
      </c>
    </row>
    <row r="37" spans="3:9">
      <c r="C37" t="s">
        <v>75</v>
      </c>
      <c r="D37" s="1">
        <v>44567</v>
      </c>
      <c r="E37" t="s">
        <v>12</v>
      </c>
      <c r="F37">
        <v>27</v>
      </c>
      <c r="G37" t="s">
        <v>7</v>
      </c>
      <c r="H37" t="s">
        <v>208</v>
      </c>
      <c r="I37">
        <v>48980</v>
      </c>
    </row>
    <row r="38" spans="3:9">
      <c r="C38" t="s">
        <v>34</v>
      </c>
      <c r="D38" s="1">
        <v>44122</v>
      </c>
      <c r="E38" t="s">
        <v>15</v>
      </c>
      <c r="F38">
        <v>27</v>
      </c>
      <c r="G38" t="s">
        <v>6</v>
      </c>
      <c r="H38" t="s">
        <v>208</v>
      </c>
      <c r="I38">
        <v>119110</v>
      </c>
    </row>
    <row r="39" spans="3:9">
      <c r="C39" t="s">
        <v>76</v>
      </c>
      <c r="D39" s="1">
        <v>44400</v>
      </c>
      <c r="E39" t="s">
        <v>15</v>
      </c>
      <c r="F39">
        <v>32</v>
      </c>
      <c r="G39" t="s">
        <v>6</v>
      </c>
      <c r="H39" t="s">
        <v>208</v>
      </c>
      <c r="I39">
        <v>45510</v>
      </c>
    </row>
    <row r="40" spans="3:9">
      <c r="C40" t="s">
        <v>80</v>
      </c>
      <c r="D40" s="1">
        <v>44385</v>
      </c>
      <c r="E40" t="s">
        <v>21</v>
      </c>
      <c r="F40">
        <v>33</v>
      </c>
      <c r="G40" t="s">
        <v>7</v>
      </c>
      <c r="H40" t="s">
        <v>208</v>
      </c>
      <c r="I40">
        <v>74550</v>
      </c>
    </row>
    <row r="41" spans="3:9">
      <c r="C41" t="s">
        <v>82</v>
      </c>
      <c r="D41" s="1">
        <v>44494</v>
      </c>
      <c r="E41" t="s">
        <v>21</v>
      </c>
      <c r="F41">
        <v>36</v>
      </c>
      <c r="G41" t="s">
        <v>6</v>
      </c>
      <c r="H41" t="s">
        <v>208</v>
      </c>
      <c r="I41">
        <v>78540</v>
      </c>
    </row>
    <row r="42" spans="3:9">
      <c r="C42" t="s">
        <v>83</v>
      </c>
      <c r="D42" s="1">
        <v>44678</v>
      </c>
      <c r="E42" t="s">
        <v>24</v>
      </c>
      <c r="F42">
        <v>21</v>
      </c>
      <c r="G42" t="s">
        <v>6</v>
      </c>
      <c r="H42" t="s">
        <v>208</v>
      </c>
      <c r="I42">
        <v>33920</v>
      </c>
    </row>
    <row r="43" spans="3:9">
      <c r="C43" t="s">
        <v>85</v>
      </c>
      <c r="D43" s="1">
        <v>44511</v>
      </c>
      <c r="E43" t="s">
        <v>24</v>
      </c>
      <c r="F43">
        <v>31</v>
      </c>
      <c r="G43" t="s">
        <v>7</v>
      </c>
      <c r="H43" t="s">
        <v>208</v>
      </c>
      <c r="I43">
        <v>48950</v>
      </c>
    </row>
    <row r="44" spans="3:9">
      <c r="C44" t="s">
        <v>86</v>
      </c>
      <c r="D44" s="1">
        <v>44861</v>
      </c>
      <c r="E44" t="s">
        <v>18</v>
      </c>
      <c r="F44">
        <v>30</v>
      </c>
      <c r="G44" t="s">
        <v>6</v>
      </c>
      <c r="H44" t="s">
        <v>208</v>
      </c>
      <c r="I44">
        <v>112570</v>
      </c>
    </row>
    <row r="45" spans="3:9">
      <c r="C45" t="s">
        <v>86</v>
      </c>
      <c r="D45">
        <v>44861</v>
      </c>
      <c r="E45" t="s">
        <v>18</v>
      </c>
      <c r="F45">
        <v>30</v>
      </c>
      <c r="G45" t="s">
        <v>6</v>
      </c>
      <c r="H45" t="s">
        <v>208</v>
      </c>
      <c r="I45">
        <v>112570</v>
      </c>
    </row>
    <row r="46" spans="3:9">
      <c r="C46" t="s">
        <v>88</v>
      </c>
      <c r="D46" s="1">
        <v>44205</v>
      </c>
      <c r="E46" t="s">
        <v>21</v>
      </c>
      <c r="F46">
        <v>25</v>
      </c>
      <c r="G46" t="s">
        <v>6</v>
      </c>
      <c r="H46" t="s">
        <v>208</v>
      </c>
      <c r="I46">
        <v>92700</v>
      </c>
    </row>
    <row r="47" spans="3:9">
      <c r="C47" t="s">
        <v>89</v>
      </c>
      <c r="D47" s="1">
        <v>44850</v>
      </c>
      <c r="E47" t="s">
        <v>18</v>
      </c>
      <c r="F47">
        <v>30</v>
      </c>
      <c r="G47" t="s">
        <v>6</v>
      </c>
      <c r="H47" t="s">
        <v>208</v>
      </c>
      <c r="I47">
        <v>114180</v>
      </c>
    </row>
    <row r="48" spans="3:9">
      <c r="C48" t="s">
        <v>90</v>
      </c>
      <c r="D48" s="1">
        <v>44465</v>
      </c>
      <c r="E48" t="s">
        <v>21</v>
      </c>
      <c r="F48">
        <v>32</v>
      </c>
      <c r="G48" t="s">
        <v>7</v>
      </c>
      <c r="H48" t="s">
        <v>208</v>
      </c>
      <c r="I48">
        <v>53540</v>
      </c>
    </row>
    <row r="49" spans="3:9">
      <c r="C49" t="s">
        <v>90</v>
      </c>
      <c r="D49">
        <v>44465</v>
      </c>
      <c r="E49" t="s">
        <v>21</v>
      </c>
      <c r="F49">
        <v>32</v>
      </c>
      <c r="G49" t="s">
        <v>7</v>
      </c>
      <c r="H49" t="s">
        <v>208</v>
      </c>
      <c r="I49">
        <v>53540</v>
      </c>
    </row>
    <row r="50" spans="3:9">
      <c r="C50" t="s">
        <v>92</v>
      </c>
      <c r="D50" s="1">
        <v>44389</v>
      </c>
      <c r="E50" t="s">
        <v>12</v>
      </c>
      <c r="F50">
        <v>30</v>
      </c>
      <c r="G50" t="s">
        <v>6</v>
      </c>
      <c r="H50" t="s">
        <v>209</v>
      </c>
      <c r="I50">
        <v>67910</v>
      </c>
    </row>
    <row r="51" spans="3:9">
      <c r="C51" t="s">
        <v>93</v>
      </c>
      <c r="D51" s="1">
        <v>44537</v>
      </c>
      <c r="E51" t="s">
        <v>21</v>
      </c>
      <c r="F51">
        <v>20</v>
      </c>
      <c r="G51" t="s">
        <v>6</v>
      </c>
      <c r="H51" t="s">
        <v>209</v>
      </c>
      <c r="I51">
        <v>68900</v>
      </c>
    </row>
    <row r="52" spans="3:9">
      <c r="C52" t="s">
        <v>98</v>
      </c>
      <c r="D52" s="1">
        <v>44041</v>
      </c>
      <c r="E52" t="s">
        <v>12</v>
      </c>
      <c r="F52">
        <v>28</v>
      </c>
      <c r="G52" t="s">
        <v>7</v>
      </c>
      <c r="H52" t="s">
        <v>206</v>
      </c>
      <c r="I52">
        <v>48170</v>
      </c>
    </row>
    <row r="53" spans="3:9">
      <c r="C53" t="s">
        <v>99</v>
      </c>
      <c r="D53" s="1">
        <v>44486</v>
      </c>
      <c r="E53" t="s">
        <v>18</v>
      </c>
      <c r="F53">
        <v>28</v>
      </c>
      <c r="G53" t="s">
        <v>6</v>
      </c>
      <c r="H53" t="s">
        <v>208</v>
      </c>
      <c r="I53">
        <v>104770</v>
      </c>
    </row>
    <row r="54" spans="3:9">
      <c r="C54" t="s">
        <v>100</v>
      </c>
      <c r="D54" s="1">
        <v>44612</v>
      </c>
      <c r="E54" t="s">
        <v>12</v>
      </c>
      <c r="F54">
        <v>34</v>
      </c>
      <c r="G54" t="s">
        <v>6</v>
      </c>
      <c r="H54" t="s">
        <v>208</v>
      </c>
      <c r="I54">
        <v>60130</v>
      </c>
    </row>
    <row r="55" spans="3:9">
      <c r="C55" t="s">
        <v>101</v>
      </c>
      <c r="D55" s="1">
        <v>44459</v>
      </c>
      <c r="E55" t="s">
        <v>24</v>
      </c>
      <c r="F55">
        <v>20</v>
      </c>
      <c r="G55" t="s">
        <v>7</v>
      </c>
      <c r="H55" t="s">
        <v>208</v>
      </c>
      <c r="I55">
        <v>107700</v>
      </c>
    </row>
    <row r="56" spans="3:9">
      <c r="C56" t="s">
        <v>104</v>
      </c>
      <c r="D56" s="1">
        <v>44459</v>
      </c>
      <c r="E56" t="s">
        <v>12</v>
      </c>
      <c r="F56">
        <v>34</v>
      </c>
      <c r="G56" t="s">
        <v>6</v>
      </c>
      <c r="H56" t="s">
        <v>208</v>
      </c>
      <c r="I56">
        <v>85000</v>
      </c>
    </row>
    <row r="57" spans="3:9">
      <c r="C57" t="s">
        <v>106</v>
      </c>
      <c r="D57" s="1">
        <v>44354</v>
      </c>
      <c r="E57" t="s">
        <v>24</v>
      </c>
      <c r="F57">
        <v>32</v>
      </c>
      <c r="G57" t="s">
        <v>6</v>
      </c>
      <c r="H57" t="s">
        <v>206</v>
      </c>
      <c r="I57">
        <v>43840</v>
      </c>
    </row>
    <row r="58" spans="3:9">
      <c r="C58" t="s">
        <v>107</v>
      </c>
      <c r="D58" s="1">
        <v>44383</v>
      </c>
      <c r="E58" t="s">
        <v>21</v>
      </c>
      <c r="F58">
        <v>25</v>
      </c>
      <c r="G58" t="s">
        <v>7</v>
      </c>
      <c r="H58" t="s">
        <v>208</v>
      </c>
      <c r="I58">
        <v>65700</v>
      </c>
    </row>
    <row r="59" spans="3:9">
      <c r="C59" t="s">
        <v>108</v>
      </c>
      <c r="D59" s="1">
        <v>44436</v>
      </c>
      <c r="E59" t="s">
        <v>12</v>
      </c>
      <c r="F59">
        <v>24</v>
      </c>
      <c r="G59" t="s">
        <v>7</v>
      </c>
      <c r="H59" t="s">
        <v>209</v>
      </c>
      <c r="I59">
        <v>52610</v>
      </c>
    </row>
    <row r="60" spans="3:9">
      <c r="C60" t="s">
        <v>109</v>
      </c>
      <c r="D60" s="1">
        <v>44762</v>
      </c>
      <c r="E60" t="s">
        <v>18</v>
      </c>
      <c r="F60">
        <v>21</v>
      </c>
      <c r="G60" t="s">
        <v>7</v>
      </c>
      <c r="H60" t="s">
        <v>208</v>
      </c>
      <c r="I60">
        <v>57090</v>
      </c>
    </row>
    <row r="61" spans="3:9">
      <c r="C61" t="s">
        <v>110</v>
      </c>
      <c r="D61" s="1">
        <v>44744</v>
      </c>
      <c r="E61" t="s">
        <v>18</v>
      </c>
      <c r="F61">
        <v>20</v>
      </c>
      <c r="G61" t="s">
        <v>7</v>
      </c>
      <c r="H61" t="s">
        <v>208</v>
      </c>
      <c r="I61">
        <v>79570</v>
      </c>
    </row>
    <row r="62" spans="3:9">
      <c r="C62" t="s">
        <v>112</v>
      </c>
      <c r="D62" s="1">
        <v>44440</v>
      </c>
      <c r="E62" t="s">
        <v>18</v>
      </c>
      <c r="F62">
        <v>23</v>
      </c>
      <c r="G62" t="s">
        <v>7</v>
      </c>
      <c r="H62" t="s">
        <v>208</v>
      </c>
      <c r="I62">
        <v>106460</v>
      </c>
    </row>
    <row r="63" spans="3:9">
      <c r="C63" t="s">
        <v>118</v>
      </c>
      <c r="D63" s="1">
        <v>44445</v>
      </c>
      <c r="E63" t="s">
        <v>12</v>
      </c>
      <c r="F63">
        <v>34</v>
      </c>
      <c r="G63" t="s">
        <v>6</v>
      </c>
      <c r="H63" t="s">
        <v>208</v>
      </c>
      <c r="I63">
        <v>92450</v>
      </c>
    </row>
    <row r="64" spans="3:9">
      <c r="C64" t="s">
        <v>119</v>
      </c>
      <c r="D64" s="1">
        <v>44277</v>
      </c>
      <c r="E64" t="s">
        <v>18</v>
      </c>
      <c r="F64">
        <v>19</v>
      </c>
      <c r="G64" t="s">
        <v>7</v>
      </c>
      <c r="H64" t="s">
        <v>208</v>
      </c>
      <c r="I64">
        <v>58960</v>
      </c>
    </row>
    <row r="65" spans="3:9">
      <c r="C65" t="s">
        <v>120</v>
      </c>
      <c r="D65" s="1">
        <v>44446</v>
      </c>
      <c r="E65" t="s">
        <v>21</v>
      </c>
      <c r="F65">
        <v>22</v>
      </c>
      <c r="G65" t="s">
        <v>7</v>
      </c>
      <c r="H65" t="s">
        <v>206</v>
      </c>
      <c r="I65">
        <v>112780</v>
      </c>
    </row>
    <row r="66" spans="3:9">
      <c r="C66" t="s">
        <v>120</v>
      </c>
      <c r="D66">
        <v>44446</v>
      </c>
      <c r="E66" t="s">
        <v>21</v>
      </c>
      <c r="F66">
        <v>22</v>
      </c>
      <c r="G66" t="s">
        <v>7</v>
      </c>
      <c r="H66" t="s">
        <v>206</v>
      </c>
      <c r="I66">
        <v>112780</v>
      </c>
    </row>
    <row r="67" spans="3:9">
      <c r="C67" t="s">
        <v>121</v>
      </c>
      <c r="D67" s="1">
        <v>44726</v>
      </c>
      <c r="E67" t="s">
        <v>18</v>
      </c>
      <c r="F67">
        <v>25</v>
      </c>
      <c r="G67" t="s">
        <v>7</v>
      </c>
      <c r="H67" t="s">
        <v>206</v>
      </c>
      <c r="I67">
        <v>109190</v>
      </c>
    </row>
    <row r="68" spans="3:9">
      <c r="C68" t="s">
        <v>122</v>
      </c>
      <c r="D68" s="1">
        <v>44774</v>
      </c>
      <c r="E68" t="s">
        <v>24</v>
      </c>
      <c r="F68">
        <v>32</v>
      </c>
      <c r="H68" t="s">
        <v>208</v>
      </c>
      <c r="I68">
        <v>91310</v>
      </c>
    </row>
    <row r="69" spans="3:9">
      <c r="C69" t="s">
        <v>125</v>
      </c>
      <c r="D69" s="1">
        <v>44609</v>
      </c>
      <c r="E69" t="s">
        <v>18</v>
      </c>
      <c r="F69">
        <v>27</v>
      </c>
      <c r="G69" t="s">
        <v>7</v>
      </c>
      <c r="H69" t="s">
        <v>211</v>
      </c>
      <c r="I69">
        <v>113280</v>
      </c>
    </row>
    <row r="70" spans="3:9">
      <c r="C70" t="s">
        <v>128</v>
      </c>
      <c r="D70" s="1">
        <v>44666</v>
      </c>
      <c r="E70" t="s">
        <v>18</v>
      </c>
      <c r="F70">
        <v>30</v>
      </c>
      <c r="G70" t="s">
        <v>7</v>
      </c>
      <c r="H70" t="s">
        <v>208</v>
      </c>
      <c r="I70">
        <v>60570</v>
      </c>
    </row>
    <row r="71" spans="3:9">
      <c r="C71" t="s">
        <v>131</v>
      </c>
      <c r="D71" s="1">
        <v>44317</v>
      </c>
      <c r="E71" t="s">
        <v>12</v>
      </c>
      <c r="F71">
        <v>21</v>
      </c>
      <c r="G71" t="s">
        <v>6</v>
      </c>
      <c r="H71" t="s">
        <v>208</v>
      </c>
      <c r="I71">
        <v>65920</v>
      </c>
    </row>
    <row r="72" spans="3:9">
      <c r="C72" t="s">
        <v>132</v>
      </c>
      <c r="D72" s="1">
        <v>44337</v>
      </c>
      <c r="E72" t="s">
        <v>24</v>
      </c>
      <c r="F72">
        <v>40</v>
      </c>
      <c r="G72" t="s">
        <v>6</v>
      </c>
      <c r="H72" t="s">
        <v>208</v>
      </c>
      <c r="I72">
        <v>87620</v>
      </c>
    </row>
    <row r="73" spans="3:9">
      <c r="C73" t="s">
        <v>135</v>
      </c>
      <c r="D73" s="1">
        <v>44183</v>
      </c>
      <c r="E73" t="s">
        <v>24</v>
      </c>
      <c r="F73">
        <v>20</v>
      </c>
      <c r="G73" t="s">
        <v>7</v>
      </c>
      <c r="H73" t="s">
        <v>208</v>
      </c>
      <c r="I73">
        <v>112650</v>
      </c>
    </row>
    <row r="74" spans="3:9">
      <c r="C74" t="s">
        <v>135</v>
      </c>
      <c r="D74" s="1">
        <v>44703</v>
      </c>
      <c r="E74" t="s">
        <v>18</v>
      </c>
      <c r="F74">
        <v>34</v>
      </c>
      <c r="G74" t="s">
        <v>7</v>
      </c>
      <c r="H74" t="s">
        <v>208</v>
      </c>
      <c r="I74">
        <v>112650</v>
      </c>
    </row>
    <row r="75" spans="3:9">
      <c r="C75" t="s">
        <v>136</v>
      </c>
      <c r="D75" s="1">
        <v>44701</v>
      </c>
      <c r="E75" t="s">
        <v>24</v>
      </c>
      <c r="F75">
        <v>37</v>
      </c>
      <c r="G75" t="s">
        <v>7</v>
      </c>
      <c r="H75" t="s">
        <v>208</v>
      </c>
      <c r="I75">
        <v>69070</v>
      </c>
    </row>
    <row r="76" spans="3:9">
      <c r="C76" t="s">
        <v>137</v>
      </c>
      <c r="D76" s="1">
        <v>44243</v>
      </c>
      <c r="E76" t="s">
        <v>12</v>
      </c>
      <c r="F76">
        <v>33</v>
      </c>
      <c r="G76" t="s">
        <v>7</v>
      </c>
      <c r="H76" t="s">
        <v>208</v>
      </c>
      <c r="I76">
        <v>59430</v>
      </c>
    </row>
    <row r="77" spans="3:9">
      <c r="C77" t="s">
        <v>138</v>
      </c>
      <c r="D77" s="1">
        <v>44850</v>
      </c>
      <c r="E77" t="s">
        <v>24</v>
      </c>
      <c r="F77">
        <v>30</v>
      </c>
      <c r="G77" t="s">
        <v>7</v>
      </c>
      <c r="H77" t="s">
        <v>208</v>
      </c>
      <c r="I77">
        <v>69710</v>
      </c>
    </row>
    <row r="78" spans="3:9">
      <c r="C78" t="s">
        <v>1</v>
      </c>
      <c r="D78" s="1" t="s">
        <v>199</v>
      </c>
      <c r="E78" t="s">
        <v>5</v>
      </c>
      <c r="F78" t="s">
        <v>2</v>
      </c>
      <c r="G78" t="s">
        <v>0</v>
      </c>
      <c r="H78" t="s">
        <v>201</v>
      </c>
      <c r="I78" t="s">
        <v>200</v>
      </c>
    </row>
    <row r="79" spans="3:9">
      <c r="C79" t="s">
        <v>141</v>
      </c>
      <c r="D79" s="1">
        <v>44023</v>
      </c>
      <c r="E79" t="s">
        <v>24</v>
      </c>
      <c r="F79">
        <v>29</v>
      </c>
      <c r="G79" t="s">
        <v>6</v>
      </c>
      <c r="H79" t="s">
        <v>208</v>
      </c>
      <c r="I79">
        <v>34980</v>
      </c>
    </row>
    <row r="80" spans="3:9">
      <c r="C80" t="s">
        <v>142</v>
      </c>
      <c r="D80" s="1">
        <v>44653</v>
      </c>
      <c r="E80" t="s">
        <v>12</v>
      </c>
      <c r="F80">
        <v>34</v>
      </c>
      <c r="G80" t="s">
        <v>6</v>
      </c>
      <c r="H80" t="s">
        <v>208</v>
      </c>
      <c r="I80">
        <v>58940</v>
      </c>
    </row>
    <row r="81" spans="3:9">
      <c r="C81" t="s">
        <v>143</v>
      </c>
      <c r="D81" s="1">
        <v>44329</v>
      </c>
      <c r="E81" t="s">
        <v>21</v>
      </c>
      <c r="F81">
        <v>38</v>
      </c>
      <c r="G81" t="s">
        <v>6</v>
      </c>
      <c r="H81" t="s">
        <v>206</v>
      </c>
      <c r="I81">
        <v>56870</v>
      </c>
    </row>
    <row r="82" spans="3:9">
      <c r="C82" t="s">
        <v>144</v>
      </c>
      <c r="D82" s="1">
        <v>44104</v>
      </c>
      <c r="E82" t="s">
        <v>18</v>
      </c>
      <c r="F82">
        <v>21</v>
      </c>
      <c r="G82" t="s">
        <v>7</v>
      </c>
      <c r="H82" t="s">
        <v>208</v>
      </c>
      <c r="I82">
        <v>37920</v>
      </c>
    </row>
    <row r="83" spans="3:9">
      <c r="C83" t="s">
        <v>150</v>
      </c>
      <c r="D83" s="1">
        <v>44377</v>
      </c>
      <c r="E83" t="s">
        <v>21</v>
      </c>
      <c r="F83">
        <v>38</v>
      </c>
      <c r="G83" t="s">
        <v>6</v>
      </c>
      <c r="H83" t="s">
        <v>210</v>
      </c>
      <c r="I83">
        <v>109160</v>
      </c>
    </row>
    <row r="84" spans="3:9">
      <c r="C84" t="s">
        <v>17</v>
      </c>
      <c r="D84" s="1">
        <v>44164</v>
      </c>
      <c r="E84" t="s">
        <v>18</v>
      </c>
      <c r="F84">
        <v>33</v>
      </c>
      <c r="G84" t="s">
        <v>7</v>
      </c>
      <c r="H84" t="s">
        <v>208</v>
      </c>
      <c r="I84">
        <v>115920</v>
      </c>
    </row>
    <row r="85" spans="3:9">
      <c r="C85" t="s">
        <v>164</v>
      </c>
      <c r="D85" s="1">
        <v>44242</v>
      </c>
      <c r="E85" t="s">
        <v>15</v>
      </c>
      <c r="F85">
        <v>21</v>
      </c>
      <c r="G85" t="s">
        <v>7</v>
      </c>
      <c r="H85" t="s">
        <v>208</v>
      </c>
      <c r="I85">
        <v>75880</v>
      </c>
    </row>
    <row r="86" spans="3:9">
      <c r="C86" t="s">
        <v>166</v>
      </c>
      <c r="D86" s="1">
        <v>44731</v>
      </c>
      <c r="E86" t="s">
        <v>12</v>
      </c>
      <c r="F86">
        <v>42</v>
      </c>
      <c r="G86" t="s">
        <v>7</v>
      </c>
      <c r="H86" t="s">
        <v>209</v>
      </c>
      <c r="I86">
        <v>70270</v>
      </c>
    </row>
    <row r="87" spans="3:9">
      <c r="C87" t="s">
        <v>174</v>
      </c>
      <c r="D87" s="1">
        <v>44809</v>
      </c>
      <c r="E87" t="s">
        <v>12</v>
      </c>
      <c r="F87">
        <v>33</v>
      </c>
      <c r="G87" t="s">
        <v>6</v>
      </c>
      <c r="H87" t="s">
        <v>208</v>
      </c>
      <c r="I87">
        <v>86570</v>
      </c>
    </row>
    <row r="88" spans="3:9">
      <c r="C88" t="s">
        <v>175</v>
      </c>
      <c r="D88" s="1">
        <v>44263</v>
      </c>
      <c r="E88" t="s">
        <v>18</v>
      </c>
      <c r="F88">
        <v>40</v>
      </c>
      <c r="G88" t="s">
        <v>7</v>
      </c>
      <c r="H88" t="s">
        <v>208</v>
      </c>
      <c r="I88">
        <v>99750</v>
      </c>
    </row>
    <row r="89" spans="3:9">
      <c r="C89" t="s">
        <v>179</v>
      </c>
      <c r="D89" s="1">
        <v>44357</v>
      </c>
      <c r="E89" t="s">
        <v>21</v>
      </c>
      <c r="F89">
        <v>28</v>
      </c>
      <c r="G89" t="s">
        <v>6</v>
      </c>
      <c r="H89" t="s">
        <v>208</v>
      </c>
      <c r="I89">
        <v>53240</v>
      </c>
    </row>
    <row r="90" spans="3:9">
      <c r="C90" t="s">
        <v>179</v>
      </c>
      <c r="D90">
        <v>44357</v>
      </c>
      <c r="E90" t="s">
        <v>21</v>
      </c>
      <c r="F90">
        <v>28</v>
      </c>
      <c r="G90" t="s">
        <v>6</v>
      </c>
      <c r="H90" t="s">
        <v>208</v>
      </c>
      <c r="I90">
        <v>53240</v>
      </c>
    </row>
    <row r="91" spans="3:9">
      <c r="C91" t="s">
        <v>30</v>
      </c>
      <c r="D91" s="1">
        <v>44019</v>
      </c>
      <c r="E91" t="s">
        <v>24</v>
      </c>
      <c r="F91">
        <v>36</v>
      </c>
      <c r="G91" t="s">
        <v>7</v>
      </c>
      <c r="H91" t="s">
        <v>208</v>
      </c>
      <c r="I91">
        <v>118840</v>
      </c>
    </row>
    <row r="92" spans="3:9">
      <c r="C92" t="s">
        <v>180</v>
      </c>
      <c r="D92" s="1">
        <v>44067</v>
      </c>
      <c r="E92" t="s">
        <v>12</v>
      </c>
      <c r="F92">
        <v>33</v>
      </c>
      <c r="G92" t="s">
        <v>6</v>
      </c>
      <c r="H92" t="s">
        <v>208</v>
      </c>
      <c r="I92">
        <v>65360</v>
      </c>
    </row>
    <row r="93" spans="3:9">
      <c r="C93" t="s">
        <v>181</v>
      </c>
      <c r="D93" s="1">
        <v>44190</v>
      </c>
      <c r="E93" t="s">
        <v>24</v>
      </c>
      <c r="F93">
        <v>33</v>
      </c>
      <c r="G93" t="s">
        <v>6</v>
      </c>
      <c r="H93" t="s">
        <v>208</v>
      </c>
      <c r="I93">
        <v>96140</v>
      </c>
    </row>
    <row r="94" spans="3:9">
      <c r="C94" t="s">
        <v>182</v>
      </c>
      <c r="D94" s="1">
        <v>44085</v>
      </c>
      <c r="E94" t="s">
        <v>18</v>
      </c>
      <c r="F94">
        <v>36</v>
      </c>
      <c r="G94" t="s">
        <v>6</v>
      </c>
      <c r="H94" t="s">
        <v>208</v>
      </c>
      <c r="I94">
        <v>114890</v>
      </c>
    </row>
    <row r="95" spans="3:9">
      <c r="C95" t="s">
        <v>26</v>
      </c>
      <c r="D95" s="1">
        <v>44451</v>
      </c>
      <c r="E95" t="s">
        <v>15</v>
      </c>
      <c r="F95">
        <v>37</v>
      </c>
      <c r="G95" t="s">
        <v>6</v>
      </c>
      <c r="H95" t="s">
        <v>208</v>
      </c>
      <c r="I95">
        <v>118100</v>
      </c>
    </row>
    <row r="96" spans="3:9">
      <c r="C96" t="s">
        <v>185</v>
      </c>
      <c r="D96" s="1">
        <v>44694</v>
      </c>
      <c r="E96" t="s">
        <v>24</v>
      </c>
      <c r="F96">
        <v>25</v>
      </c>
      <c r="G96" t="s">
        <v>6</v>
      </c>
      <c r="H96" t="s">
        <v>206</v>
      </c>
      <c r="I96">
        <v>80700</v>
      </c>
    </row>
    <row r="97" spans="3:9">
      <c r="C97" t="s">
        <v>188</v>
      </c>
      <c r="D97" s="1">
        <v>44148</v>
      </c>
      <c r="E97" t="s">
        <v>24</v>
      </c>
      <c r="F97">
        <v>24</v>
      </c>
      <c r="G97" t="s">
        <v>6</v>
      </c>
      <c r="H97" t="s">
        <v>208</v>
      </c>
      <c r="I97">
        <v>62780</v>
      </c>
    </row>
    <row r="98" spans="3:9">
      <c r="C98" t="s">
        <v>188</v>
      </c>
      <c r="D98">
        <v>44148</v>
      </c>
      <c r="E98" t="s">
        <v>24</v>
      </c>
      <c r="F98">
        <v>24</v>
      </c>
      <c r="G98" t="s">
        <v>6</v>
      </c>
      <c r="H98" t="s">
        <v>208</v>
      </c>
      <c r="I98">
        <v>62780</v>
      </c>
    </row>
    <row r="99" spans="3:9">
      <c r="C99" t="s">
        <v>190</v>
      </c>
      <c r="D99" s="1">
        <v>44721</v>
      </c>
      <c r="E99" t="s">
        <v>21</v>
      </c>
      <c r="F99">
        <v>34</v>
      </c>
      <c r="G99" t="s">
        <v>6</v>
      </c>
      <c r="H99" t="s">
        <v>209</v>
      </c>
      <c r="I99">
        <v>49630</v>
      </c>
    </row>
    <row r="100" spans="3:9">
      <c r="C100" t="s">
        <v>191</v>
      </c>
      <c r="D100" s="1">
        <v>44450</v>
      </c>
      <c r="E100" t="s">
        <v>18</v>
      </c>
      <c r="F100">
        <v>22</v>
      </c>
      <c r="G100" t="s">
        <v>6</v>
      </c>
      <c r="H100" t="s">
        <v>206</v>
      </c>
      <c r="I100">
        <v>76900</v>
      </c>
    </row>
    <row r="101" spans="3:9">
      <c r="C101" t="s">
        <v>193</v>
      </c>
      <c r="D101" s="1">
        <v>44509</v>
      </c>
      <c r="E101" t="s">
        <v>24</v>
      </c>
      <c r="F101">
        <v>33</v>
      </c>
      <c r="G101" t="s">
        <v>7</v>
      </c>
      <c r="H101" t="s">
        <v>208</v>
      </c>
      <c r="I101">
        <v>53870</v>
      </c>
    </row>
    <row r="102" spans="3:9">
      <c r="C102" t="s">
        <v>194</v>
      </c>
      <c r="D102" s="1">
        <v>45045</v>
      </c>
      <c r="E102" t="s">
        <v>24</v>
      </c>
      <c r="F102">
        <v>43</v>
      </c>
      <c r="G102" t="s">
        <v>6</v>
      </c>
      <c r="H102" t="s">
        <v>208</v>
      </c>
      <c r="I102">
        <v>114870</v>
      </c>
    </row>
    <row r="103" spans="3:9">
      <c r="C103" t="s">
        <v>197</v>
      </c>
      <c r="D103" s="1">
        <v>44411</v>
      </c>
      <c r="E103" t="s">
        <v>18</v>
      </c>
      <c r="F103">
        <v>26</v>
      </c>
      <c r="G103" t="s">
        <v>7</v>
      </c>
      <c r="H103" t="s">
        <v>208</v>
      </c>
      <c r="I103">
        <v>53540</v>
      </c>
    </row>
  </sheetData>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15"/>
  <sheetViews>
    <sheetView showGridLines="0" workbookViewId="0">
      <selection activeCell="L5" sqref="L5"/>
    </sheetView>
  </sheetViews>
  <sheetFormatPr defaultColWidth="9" defaultRowHeight="14.4"/>
  <cols>
    <col min="2" max="2" width="29.6640625" customWidth="1"/>
    <col min="3" max="3" width="7.44140625" customWidth="1"/>
    <col min="4" max="4" width="4.6640625" customWidth="1"/>
    <col min="5" max="5" width="14.109375" customWidth="1"/>
    <col min="6" max="6" width="11.44140625" customWidth="1"/>
    <col min="7" max="7" width="12.44140625" customWidth="1"/>
    <col min="8" max="8" width="7.6640625" customWidth="1"/>
  </cols>
  <sheetData>
    <row r="1" spans="1:8">
      <c r="A1" s="38" t="s">
        <v>232</v>
      </c>
    </row>
    <row r="3" spans="1:8">
      <c r="B3" t="s">
        <v>1</v>
      </c>
      <c r="C3" t="s">
        <v>0</v>
      </c>
      <c r="D3" t="s">
        <v>2</v>
      </c>
      <c r="E3" t="s">
        <v>201</v>
      </c>
      <c r="F3" t="s">
        <v>199</v>
      </c>
      <c r="G3" t="s">
        <v>5</v>
      </c>
      <c r="H3" t="s">
        <v>200</v>
      </c>
    </row>
    <row r="4" spans="1:8">
      <c r="B4" t="s">
        <v>62</v>
      </c>
      <c r="C4" t="s">
        <v>7</v>
      </c>
      <c r="D4">
        <v>20</v>
      </c>
      <c r="E4" t="s">
        <v>208</v>
      </c>
      <c r="F4" s="1">
        <v>44122</v>
      </c>
      <c r="G4" t="s">
        <v>24</v>
      </c>
      <c r="H4">
        <v>112650</v>
      </c>
    </row>
    <row r="5" spans="1:8">
      <c r="B5" t="s">
        <v>195</v>
      </c>
      <c r="C5" t="s">
        <v>6</v>
      </c>
      <c r="D5">
        <v>32</v>
      </c>
      <c r="E5" t="s">
        <v>206</v>
      </c>
      <c r="F5" s="1">
        <v>44293</v>
      </c>
      <c r="G5" t="s">
        <v>24</v>
      </c>
      <c r="H5">
        <v>43840</v>
      </c>
    </row>
    <row r="6" spans="1:8">
      <c r="B6" t="s">
        <v>162</v>
      </c>
      <c r="C6" t="s">
        <v>7</v>
      </c>
      <c r="D6">
        <v>31</v>
      </c>
      <c r="E6" t="s">
        <v>208</v>
      </c>
      <c r="F6" s="1">
        <v>44663</v>
      </c>
      <c r="G6" t="s">
        <v>18</v>
      </c>
      <c r="H6">
        <v>103550</v>
      </c>
    </row>
    <row r="7" spans="1:8">
      <c r="B7" t="s">
        <v>123</v>
      </c>
      <c r="C7" t="s">
        <v>6</v>
      </c>
      <c r="D7">
        <v>32</v>
      </c>
      <c r="E7" t="s">
        <v>208</v>
      </c>
      <c r="F7" s="1">
        <v>44339</v>
      </c>
      <c r="G7" t="s">
        <v>15</v>
      </c>
      <c r="H7">
        <v>45510</v>
      </c>
    </row>
    <row r="8" spans="1:8">
      <c r="B8" t="s">
        <v>14</v>
      </c>
      <c r="D8">
        <v>37</v>
      </c>
      <c r="E8" t="s">
        <v>209</v>
      </c>
      <c r="F8" s="1">
        <v>44085</v>
      </c>
      <c r="G8" t="s">
        <v>12</v>
      </c>
      <c r="H8">
        <v>115440</v>
      </c>
    </row>
    <row r="9" spans="1:8">
      <c r="B9" t="s">
        <v>133</v>
      </c>
      <c r="C9" t="s">
        <v>6</v>
      </c>
      <c r="D9">
        <v>38</v>
      </c>
      <c r="E9" t="s">
        <v>206</v>
      </c>
      <c r="F9" s="1">
        <v>44268</v>
      </c>
      <c r="G9" t="s">
        <v>21</v>
      </c>
      <c r="H9">
        <v>56870</v>
      </c>
    </row>
    <row r="10" spans="1:8">
      <c r="B10" t="s">
        <v>149</v>
      </c>
      <c r="C10" t="s">
        <v>6</v>
      </c>
      <c r="D10">
        <v>25</v>
      </c>
      <c r="E10" t="s">
        <v>208</v>
      </c>
      <c r="F10" s="1">
        <v>44144</v>
      </c>
      <c r="G10" t="s">
        <v>21</v>
      </c>
      <c r="H10">
        <v>92700</v>
      </c>
    </row>
    <row r="11" spans="1:8">
      <c r="B11" t="s">
        <v>154</v>
      </c>
      <c r="D11">
        <v>32</v>
      </c>
      <c r="E11" t="s">
        <v>208</v>
      </c>
      <c r="F11" s="1">
        <v>44713</v>
      </c>
      <c r="G11" t="s">
        <v>24</v>
      </c>
      <c r="H11">
        <v>91310</v>
      </c>
    </row>
    <row r="12" spans="1:8">
      <c r="B12" t="s">
        <v>196</v>
      </c>
      <c r="C12" t="s">
        <v>7</v>
      </c>
      <c r="D12">
        <v>33</v>
      </c>
      <c r="E12" t="s">
        <v>208</v>
      </c>
      <c r="F12" s="1">
        <v>44324</v>
      </c>
      <c r="G12" t="s">
        <v>21</v>
      </c>
      <c r="H12">
        <v>74550</v>
      </c>
    </row>
    <row r="13" spans="1:8">
      <c r="B13" t="s">
        <v>60</v>
      </c>
      <c r="C13" t="s">
        <v>7</v>
      </c>
      <c r="D13">
        <v>25</v>
      </c>
      <c r="E13" t="s">
        <v>206</v>
      </c>
      <c r="F13" s="1">
        <v>44665</v>
      </c>
      <c r="G13" t="s">
        <v>18</v>
      </c>
      <c r="H13">
        <v>109190</v>
      </c>
    </row>
    <row r="14" spans="1:8">
      <c r="B14" t="s">
        <v>129</v>
      </c>
      <c r="C14" t="s">
        <v>6</v>
      </c>
      <c r="D14">
        <v>40</v>
      </c>
      <c r="E14" t="s">
        <v>208</v>
      </c>
      <c r="F14" s="1">
        <v>44320</v>
      </c>
      <c r="G14" t="s">
        <v>24</v>
      </c>
      <c r="H14">
        <v>104410</v>
      </c>
    </row>
    <row r="15" spans="1:8">
      <c r="B15" t="s">
        <v>134</v>
      </c>
      <c r="C15" t="s">
        <v>7</v>
      </c>
      <c r="D15">
        <v>30</v>
      </c>
      <c r="E15" t="s">
        <v>208</v>
      </c>
      <c r="F15" s="1">
        <v>44544</v>
      </c>
      <c r="G15" t="s">
        <v>12</v>
      </c>
      <c r="H15">
        <v>96800</v>
      </c>
    </row>
    <row r="16" spans="1:8">
      <c r="B16" t="s">
        <v>37</v>
      </c>
      <c r="C16" t="s">
        <v>7</v>
      </c>
      <c r="D16">
        <v>28</v>
      </c>
      <c r="E16" t="s">
        <v>206</v>
      </c>
      <c r="F16" s="1">
        <v>43980</v>
      </c>
      <c r="G16" t="s">
        <v>12</v>
      </c>
      <c r="H16">
        <v>48170</v>
      </c>
    </row>
    <row r="17" spans="2:8">
      <c r="B17" t="s">
        <v>19</v>
      </c>
      <c r="C17" t="s">
        <v>7</v>
      </c>
      <c r="D17">
        <v>21</v>
      </c>
      <c r="E17" t="s">
        <v>208</v>
      </c>
      <c r="F17" s="1">
        <v>44042</v>
      </c>
      <c r="G17" t="s">
        <v>18</v>
      </c>
      <c r="H17">
        <v>37920</v>
      </c>
    </row>
    <row r="18" spans="2:8">
      <c r="B18" t="s">
        <v>40</v>
      </c>
      <c r="C18" t="s">
        <v>7</v>
      </c>
      <c r="D18">
        <v>34</v>
      </c>
      <c r="E18" t="s">
        <v>208</v>
      </c>
      <c r="F18" s="1">
        <v>44642</v>
      </c>
      <c r="G18" t="s">
        <v>18</v>
      </c>
      <c r="H18">
        <v>112650</v>
      </c>
    </row>
    <row r="19" spans="2:8">
      <c r="B19" t="s">
        <v>61</v>
      </c>
      <c r="C19" t="s">
        <v>6</v>
      </c>
      <c r="D19">
        <v>34</v>
      </c>
      <c r="E19" t="s">
        <v>209</v>
      </c>
      <c r="F19" s="1">
        <v>44660</v>
      </c>
      <c r="G19" t="s">
        <v>21</v>
      </c>
      <c r="H19">
        <v>49630</v>
      </c>
    </row>
    <row r="20" spans="2:8">
      <c r="B20" t="s">
        <v>28</v>
      </c>
      <c r="C20" t="s">
        <v>7</v>
      </c>
      <c r="D20">
        <v>36</v>
      </c>
      <c r="E20" t="s">
        <v>208</v>
      </c>
      <c r="F20" s="1">
        <v>43958</v>
      </c>
      <c r="G20" t="s">
        <v>24</v>
      </c>
      <c r="H20">
        <v>118840</v>
      </c>
    </row>
    <row r="21" spans="2:8">
      <c r="B21" t="s">
        <v>167</v>
      </c>
      <c r="C21" t="s">
        <v>7</v>
      </c>
      <c r="D21">
        <v>30</v>
      </c>
      <c r="E21" t="s">
        <v>208</v>
      </c>
      <c r="F21" s="1">
        <v>44789</v>
      </c>
      <c r="G21" t="s">
        <v>24</v>
      </c>
      <c r="H21">
        <v>69710</v>
      </c>
    </row>
    <row r="22" spans="2:8">
      <c r="B22" t="s">
        <v>183</v>
      </c>
      <c r="C22" t="s">
        <v>7</v>
      </c>
      <c r="D22">
        <v>20</v>
      </c>
      <c r="E22" t="s">
        <v>208</v>
      </c>
      <c r="F22" s="1">
        <v>44683</v>
      </c>
      <c r="G22" t="s">
        <v>18</v>
      </c>
      <c r="H22">
        <v>79570</v>
      </c>
    </row>
    <row r="23" spans="2:8">
      <c r="B23" t="s">
        <v>171</v>
      </c>
      <c r="C23" t="s">
        <v>6</v>
      </c>
      <c r="D23">
        <v>22</v>
      </c>
      <c r="E23" t="s">
        <v>206</v>
      </c>
      <c r="F23" s="1">
        <v>44388</v>
      </c>
      <c r="G23" t="s">
        <v>18</v>
      </c>
      <c r="H23">
        <v>76900</v>
      </c>
    </row>
    <row r="24" spans="2:8">
      <c r="B24" t="s">
        <v>159</v>
      </c>
      <c r="C24" t="s">
        <v>7</v>
      </c>
      <c r="D24">
        <v>27</v>
      </c>
      <c r="E24" t="s">
        <v>208</v>
      </c>
      <c r="F24" s="1">
        <v>44073</v>
      </c>
      <c r="G24" t="s">
        <v>21</v>
      </c>
      <c r="H24">
        <v>54970</v>
      </c>
    </row>
    <row r="25" spans="2:8">
      <c r="B25" t="s">
        <v>78</v>
      </c>
      <c r="C25" t="s">
        <v>7</v>
      </c>
      <c r="D25">
        <v>37</v>
      </c>
      <c r="E25" t="s">
        <v>209</v>
      </c>
      <c r="F25" s="1">
        <v>44277</v>
      </c>
      <c r="G25" t="s">
        <v>24</v>
      </c>
      <c r="H25">
        <v>88050</v>
      </c>
    </row>
    <row r="26" spans="2:8">
      <c r="B26" t="s">
        <v>192</v>
      </c>
      <c r="C26" t="s">
        <v>7</v>
      </c>
      <c r="D26">
        <v>43</v>
      </c>
      <c r="E26" t="s">
        <v>208</v>
      </c>
      <c r="F26" s="1">
        <v>44558</v>
      </c>
      <c r="G26" t="s">
        <v>21</v>
      </c>
      <c r="H26">
        <v>36040</v>
      </c>
    </row>
    <row r="27" spans="2:8">
      <c r="B27" t="s">
        <v>139</v>
      </c>
      <c r="C27" t="s">
        <v>6</v>
      </c>
      <c r="D27">
        <v>42</v>
      </c>
      <c r="E27" t="s">
        <v>210</v>
      </c>
      <c r="F27" s="1">
        <v>44718</v>
      </c>
      <c r="G27" t="s">
        <v>18</v>
      </c>
      <c r="H27">
        <v>75000</v>
      </c>
    </row>
    <row r="28" spans="2:8">
      <c r="B28" t="s">
        <v>170</v>
      </c>
      <c r="C28" t="s">
        <v>7</v>
      </c>
      <c r="D28">
        <v>35</v>
      </c>
      <c r="E28" t="s">
        <v>208</v>
      </c>
      <c r="F28" s="1">
        <v>44666</v>
      </c>
      <c r="G28" t="s">
        <v>18</v>
      </c>
      <c r="H28">
        <v>40400</v>
      </c>
    </row>
    <row r="29" spans="2:8">
      <c r="B29" t="s">
        <v>31</v>
      </c>
      <c r="C29" t="s">
        <v>7</v>
      </c>
      <c r="D29">
        <v>24</v>
      </c>
      <c r="E29" t="s">
        <v>208</v>
      </c>
      <c r="F29" s="1">
        <v>44625</v>
      </c>
      <c r="G29" t="s">
        <v>24</v>
      </c>
      <c r="H29">
        <v>100420</v>
      </c>
    </row>
    <row r="30" spans="2:8">
      <c r="B30" t="s">
        <v>147</v>
      </c>
      <c r="C30" t="s">
        <v>6</v>
      </c>
      <c r="D30">
        <v>31</v>
      </c>
      <c r="E30" t="s">
        <v>208</v>
      </c>
      <c r="F30" s="1">
        <v>44604</v>
      </c>
      <c r="G30" t="s">
        <v>24</v>
      </c>
      <c r="H30">
        <v>58100</v>
      </c>
    </row>
    <row r="31" spans="2:8">
      <c r="B31" t="s">
        <v>152</v>
      </c>
      <c r="C31" t="s">
        <v>6</v>
      </c>
      <c r="D31">
        <v>44</v>
      </c>
      <c r="E31" t="s">
        <v>208</v>
      </c>
      <c r="F31" s="1">
        <v>44985</v>
      </c>
      <c r="G31" t="s">
        <v>24</v>
      </c>
      <c r="H31">
        <v>114870</v>
      </c>
    </row>
    <row r="32" spans="2:8">
      <c r="B32" t="s">
        <v>148</v>
      </c>
      <c r="C32" t="s">
        <v>6</v>
      </c>
      <c r="D32">
        <v>32</v>
      </c>
      <c r="E32" t="s">
        <v>208</v>
      </c>
      <c r="F32" s="1">
        <v>44549</v>
      </c>
      <c r="G32" t="s">
        <v>18</v>
      </c>
      <c r="H32">
        <v>41570</v>
      </c>
    </row>
    <row r="33" spans="2:8">
      <c r="B33" t="s">
        <v>127</v>
      </c>
      <c r="C33" t="s">
        <v>6</v>
      </c>
      <c r="D33">
        <v>30</v>
      </c>
      <c r="E33" t="s">
        <v>208</v>
      </c>
      <c r="F33" s="1">
        <v>44800</v>
      </c>
      <c r="G33" t="s">
        <v>18</v>
      </c>
      <c r="H33">
        <v>112570</v>
      </c>
    </row>
    <row r="34" spans="2:8">
      <c r="B34" t="s">
        <v>169</v>
      </c>
      <c r="C34" t="s">
        <v>7</v>
      </c>
      <c r="D34">
        <v>26</v>
      </c>
      <c r="E34" t="s">
        <v>208</v>
      </c>
      <c r="F34" s="1">
        <v>44164</v>
      </c>
      <c r="G34" t="s">
        <v>18</v>
      </c>
      <c r="H34">
        <v>47360</v>
      </c>
    </row>
    <row r="35" spans="2:8">
      <c r="B35" t="s">
        <v>16</v>
      </c>
      <c r="C35" t="s">
        <v>6</v>
      </c>
      <c r="D35">
        <v>21</v>
      </c>
      <c r="E35" t="s">
        <v>208</v>
      </c>
      <c r="F35" s="1">
        <v>44256</v>
      </c>
      <c r="G35" t="s">
        <v>12</v>
      </c>
      <c r="H35">
        <v>65920</v>
      </c>
    </row>
    <row r="36" spans="2:8">
      <c r="B36" t="s">
        <v>187</v>
      </c>
      <c r="C36" t="s">
        <v>6</v>
      </c>
      <c r="D36">
        <v>28</v>
      </c>
      <c r="E36" t="s">
        <v>208</v>
      </c>
      <c r="F36" s="1">
        <v>44571</v>
      </c>
      <c r="G36" t="s">
        <v>18</v>
      </c>
      <c r="H36">
        <v>99970</v>
      </c>
    </row>
    <row r="37" spans="2:8">
      <c r="B37" t="s">
        <v>47</v>
      </c>
      <c r="C37" t="s">
        <v>6</v>
      </c>
      <c r="D37">
        <v>25</v>
      </c>
      <c r="E37" t="s">
        <v>206</v>
      </c>
      <c r="F37" s="1">
        <v>44633</v>
      </c>
      <c r="G37" t="s">
        <v>24</v>
      </c>
      <c r="H37">
        <v>80700</v>
      </c>
    </row>
    <row r="38" spans="2:8">
      <c r="B38" t="s">
        <v>84</v>
      </c>
      <c r="C38" t="s">
        <v>7</v>
      </c>
      <c r="D38">
        <v>24</v>
      </c>
      <c r="E38" t="s">
        <v>209</v>
      </c>
      <c r="F38" s="1">
        <v>44375</v>
      </c>
      <c r="G38" t="s">
        <v>12</v>
      </c>
      <c r="H38">
        <v>52610</v>
      </c>
    </row>
    <row r="39" spans="2:8">
      <c r="B39" t="s">
        <v>140</v>
      </c>
      <c r="C39" t="s">
        <v>7</v>
      </c>
      <c r="D39">
        <v>29</v>
      </c>
      <c r="E39" t="s">
        <v>209</v>
      </c>
      <c r="F39" s="1">
        <v>44119</v>
      </c>
      <c r="G39" t="s">
        <v>24</v>
      </c>
      <c r="H39">
        <v>112110</v>
      </c>
    </row>
    <row r="40" spans="2:8">
      <c r="B40" t="s">
        <v>32</v>
      </c>
      <c r="C40" t="s">
        <v>6</v>
      </c>
      <c r="D40">
        <v>27</v>
      </c>
      <c r="E40" t="s">
        <v>208</v>
      </c>
      <c r="F40" s="1">
        <v>44061</v>
      </c>
      <c r="G40" t="s">
        <v>15</v>
      </c>
      <c r="H40">
        <v>119110</v>
      </c>
    </row>
    <row r="41" spans="2:8">
      <c r="B41" t="s">
        <v>113</v>
      </c>
      <c r="C41" t="s">
        <v>7</v>
      </c>
      <c r="D41">
        <v>22</v>
      </c>
      <c r="E41" t="s">
        <v>206</v>
      </c>
      <c r="F41" s="1">
        <v>44384</v>
      </c>
      <c r="G41" t="s">
        <v>21</v>
      </c>
      <c r="H41">
        <v>112780</v>
      </c>
    </row>
    <row r="42" spans="2:8">
      <c r="B42" t="s">
        <v>67</v>
      </c>
      <c r="C42" t="s">
        <v>6</v>
      </c>
      <c r="D42">
        <v>36</v>
      </c>
      <c r="E42" t="s">
        <v>208</v>
      </c>
      <c r="F42" s="1">
        <v>44023</v>
      </c>
      <c r="G42" t="s">
        <v>18</v>
      </c>
      <c r="H42">
        <v>114890</v>
      </c>
    </row>
    <row r="43" spans="2:8">
      <c r="B43" t="s">
        <v>186</v>
      </c>
      <c r="C43" t="s">
        <v>7</v>
      </c>
      <c r="D43">
        <v>27</v>
      </c>
      <c r="E43" t="s">
        <v>208</v>
      </c>
      <c r="F43" s="1">
        <v>44506</v>
      </c>
      <c r="G43" t="s">
        <v>12</v>
      </c>
      <c r="H43">
        <v>48980</v>
      </c>
    </row>
    <row r="44" spans="2:8">
      <c r="B44" t="s">
        <v>158</v>
      </c>
      <c r="C44" t="s">
        <v>7</v>
      </c>
      <c r="D44">
        <v>21</v>
      </c>
      <c r="E44" t="s">
        <v>208</v>
      </c>
      <c r="F44" s="1">
        <v>44180</v>
      </c>
      <c r="G44" t="s">
        <v>15</v>
      </c>
      <c r="H44">
        <v>75880</v>
      </c>
    </row>
    <row r="45" spans="2:8">
      <c r="B45" t="s">
        <v>35</v>
      </c>
      <c r="C45" t="s">
        <v>6</v>
      </c>
      <c r="D45">
        <v>28</v>
      </c>
      <c r="E45" t="s">
        <v>208</v>
      </c>
      <c r="F45" s="1">
        <v>44296</v>
      </c>
      <c r="G45" t="s">
        <v>21</v>
      </c>
      <c r="H45">
        <v>53240</v>
      </c>
    </row>
    <row r="46" spans="2:8">
      <c r="B46" t="s">
        <v>178</v>
      </c>
      <c r="C46" t="s">
        <v>6</v>
      </c>
      <c r="D46">
        <v>34</v>
      </c>
      <c r="E46" t="s">
        <v>208</v>
      </c>
      <c r="F46" s="1">
        <v>44397</v>
      </c>
      <c r="G46" t="s">
        <v>12</v>
      </c>
      <c r="H46">
        <v>85000</v>
      </c>
    </row>
    <row r="47" spans="2:8">
      <c r="B47" t="s">
        <v>172</v>
      </c>
      <c r="C47" t="s">
        <v>6</v>
      </c>
      <c r="D47">
        <v>21</v>
      </c>
      <c r="E47" t="s">
        <v>208</v>
      </c>
      <c r="F47" s="1">
        <v>44619</v>
      </c>
      <c r="G47" t="s">
        <v>24</v>
      </c>
      <c r="H47">
        <v>33920</v>
      </c>
    </row>
    <row r="48" spans="2:8">
      <c r="B48" t="s">
        <v>87</v>
      </c>
      <c r="C48" t="s">
        <v>6</v>
      </c>
      <c r="D48">
        <v>33</v>
      </c>
      <c r="E48" t="s">
        <v>208</v>
      </c>
      <c r="F48" s="1">
        <v>44253</v>
      </c>
      <c r="G48" t="s">
        <v>24</v>
      </c>
      <c r="H48">
        <v>75280</v>
      </c>
    </row>
    <row r="49" spans="2:8">
      <c r="B49" t="s">
        <v>114</v>
      </c>
      <c r="C49" t="s">
        <v>6</v>
      </c>
      <c r="D49">
        <v>34</v>
      </c>
      <c r="E49" t="s">
        <v>208</v>
      </c>
      <c r="F49" s="1">
        <v>44594</v>
      </c>
      <c r="G49" t="s">
        <v>12</v>
      </c>
      <c r="H49">
        <v>58940</v>
      </c>
    </row>
    <row r="50" spans="2:8">
      <c r="B50" t="s">
        <v>168</v>
      </c>
      <c r="C50" t="s">
        <v>6</v>
      </c>
      <c r="D50">
        <v>28</v>
      </c>
      <c r="E50" t="s">
        <v>208</v>
      </c>
      <c r="F50" s="1">
        <v>44425</v>
      </c>
      <c r="G50" t="s">
        <v>18</v>
      </c>
      <c r="H50">
        <v>104770</v>
      </c>
    </row>
    <row r="51" spans="2:8">
      <c r="B51" t="s">
        <v>165</v>
      </c>
      <c r="C51" t="s">
        <v>7</v>
      </c>
      <c r="D51">
        <v>21</v>
      </c>
      <c r="E51" t="s">
        <v>208</v>
      </c>
      <c r="F51" s="1">
        <v>44701</v>
      </c>
      <c r="G51" t="s">
        <v>18</v>
      </c>
      <c r="H51">
        <v>57090</v>
      </c>
    </row>
    <row r="52" spans="2:8">
      <c r="B52" t="s">
        <v>102</v>
      </c>
      <c r="C52" t="s">
        <v>7</v>
      </c>
      <c r="D52">
        <v>27</v>
      </c>
      <c r="E52" t="s">
        <v>206</v>
      </c>
      <c r="F52" s="1">
        <v>44174</v>
      </c>
      <c r="G52" t="s">
        <v>12</v>
      </c>
      <c r="H52">
        <v>91650</v>
      </c>
    </row>
    <row r="53" spans="2:8">
      <c r="B53" t="s">
        <v>52</v>
      </c>
      <c r="C53" t="s">
        <v>7</v>
      </c>
      <c r="D53">
        <v>42</v>
      </c>
      <c r="E53" t="s">
        <v>209</v>
      </c>
      <c r="F53" s="1">
        <v>44670</v>
      </c>
      <c r="G53" t="s">
        <v>12</v>
      </c>
      <c r="H53">
        <v>70270</v>
      </c>
    </row>
    <row r="54" spans="2:8">
      <c r="B54" t="s">
        <v>95</v>
      </c>
      <c r="C54" t="s">
        <v>6</v>
      </c>
      <c r="D54">
        <v>28</v>
      </c>
      <c r="E54" t="s">
        <v>208</v>
      </c>
      <c r="F54" s="1">
        <v>44124</v>
      </c>
      <c r="G54" t="s">
        <v>12</v>
      </c>
      <c r="H54">
        <v>75970</v>
      </c>
    </row>
    <row r="55" spans="2:8">
      <c r="B55" t="s">
        <v>105</v>
      </c>
      <c r="D55">
        <v>27</v>
      </c>
      <c r="E55" t="s">
        <v>206</v>
      </c>
      <c r="F55" s="1">
        <v>44212</v>
      </c>
      <c r="G55" t="s">
        <v>24</v>
      </c>
      <c r="H55">
        <v>90700</v>
      </c>
    </row>
    <row r="56" spans="2:8">
      <c r="B56" t="s">
        <v>130</v>
      </c>
      <c r="C56" t="s">
        <v>7</v>
      </c>
      <c r="D56">
        <v>30</v>
      </c>
      <c r="E56" t="s">
        <v>208</v>
      </c>
      <c r="F56" s="1">
        <v>44607</v>
      </c>
      <c r="G56" t="s">
        <v>18</v>
      </c>
      <c r="H56">
        <v>60570</v>
      </c>
    </row>
    <row r="57" spans="2:8">
      <c r="B57" t="s">
        <v>20</v>
      </c>
      <c r="C57" t="s">
        <v>7</v>
      </c>
      <c r="D57">
        <v>33</v>
      </c>
      <c r="E57" t="s">
        <v>208</v>
      </c>
      <c r="F57" s="1">
        <v>44103</v>
      </c>
      <c r="G57" t="s">
        <v>18</v>
      </c>
      <c r="H57">
        <v>115920</v>
      </c>
    </row>
    <row r="58" spans="2:8">
      <c r="B58" t="s">
        <v>111</v>
      </c>
      <c r="C58" t="s">
        <v>6</v>
      </c>
      <c r="D58">
        <v>33</v>
      </c>
      <c r="E58" t="s">
        <v>208</v>
      </c>
      <c r="F58" s="1">
        <v>44006</v>
      </c>
      <c r="G58" t="s">
        <v>12</v>
      </c>
      <c r="H58">
        <v>65360</v>
      </c>
    </row>
    <row r="59" spans="2:8">
      <c r="B59" t="s">
        <v>184</v>
      </c>
      <c r="D59">
        <v>30</v>
      </c>
      <c r="E59" t="s">
        <v>208</v>
      </c>
      <c r="F59" s="1">
        <v>44535</v>
      </c>
      <c r="G59" t="s">
        <v>12</v>
      </c>
      <c r="H59">
        <v>64000</v>
      </c>
    </row>
    <row r="60" spans="2:8">
      <c r="B60" t="s">
        <v>63</v>
      </c>
      <c r="C60" t="s">
        <v>6</v>
      </c>
      <c r="D60">
        <v>34</v>
      </c>
      <c r="E60" t="s">
        <v>208</v>
      </c>
      <c r="F60" s="1">
        <v>44383</v>
      </c>
      <c r="G60" t="s">
        <v>12</v>
      </c>
      <c r="H60">
        <v>92450</v>
      </c>
    </row>
    <row r="61" spans="2:8">
      <c r="B61" t="s">
        <v>27</v>
      </c>
      <c r="C61" t="s">
        <v>7</v>
      </c>
      <c r="D61">
        <v>31</v>
      </c>
      <c r="E61" t="s">
        <v>208</v>
      </c>
      <c r="F61" s="1">
        <v>44450</v>
      </c>
      <c r="G61" t="s">
        <v>24</v>
      </c>
      <c r="H61">
        <v>48950</v>
      </c>
    </row>
    <row r="62" spans="2:8">
      <c r="B62" t="s">
        <v>116</v>
      </c>
      <c r="C62" t="s">
        <v>6</v>
      </c>
      <c r="D62">
        <v>27</v>
      </c>
      <c r="E62" t="s">
        <v>208</v>
      </c>
      <c r="F62" s="1">
        <v>44625</v>
      </c>
      <c r="G62" t="s">
        <v>24</v>
      </c>
      <c r="H62">
        <v>83750</v>
      </c>
    </row>
    <row r="63" spans="2:8">
      <c r="B63" t="s">
        <v>81</v>
      </c>
      <c r="C63" t="s">
        <v>6</v>
      </c>
      <c r="D63">
        <v>40</v>
      </c>
      <c r="E63" t="s">
        <v>208</v>
      </c>
      <c r="F63" s="1">
        <v>44276</v>
      </c>
      <c r="G63" t="s">
        <v>24</v>
      </c>
      <c r="H63">
        <v>87620</v>
      </c>
    </row>
    <row r="64" spans="2:8">
      <c r="B64" t="s">
        <v>66</v>
      </c>
      <c r="C64" t="s">
        <v>6</v>
      </c>
      <c r="D64">
        <v>20</v>
      </c>
      <c r="E64" t="s">
        <v>209</v>
      </c>
      <c r="F64" s="1">
        <v>44476</v>
      </c>
      <c r="G64" t="s">
        <v>21</v>
      </c>
      <c r="H64">
        <v>68900</v>
      </c>
    </row>
    <row r="65" spans="2:8">
      <c r="B65" t="s">
        <v>79</v>
      </c>
      <c r="C65" t="s">
        <v>7</v>
      </c>
      <c r="D65">
        <v>32</v>
      </c>
      <c r="E65" t="s">
        <v>208</v>
      </c>
      <c r="F65" s="1">
        <v>44403</v>
      </c>
      <c r="G65" t="s">
        <v>21</v>
      </c>
      <c r="H65">
        <v>53540</v>
      </c>
    </row>
    <row r="66" spans="2:8">
      <c r="B66" t="s">
        <v>155</v>
      </c>
      <c r="C66" t="s">
        <v>7</v>
      </c>
      <c r="D66">
        <v>28</v>
      </c>
      <c r="E66" t="s">
        <v>211</v>
      </c>
      <c r="F66" s="1">
        <v>44758</v>
      </c>
      <c r="G66" t="s">
        <v>21</v>
      </c>
      <c r="H66">
        <v>43510</v>
      </c>
    </row>
    <row r="67" spans="2:8">
      <c r="B67" t="s">
        <v>163</v>
      </c>
      <c r="C67" t="s">
        <v>6</v>
      </c>
      <c r="D67">
        <v>38</v>
      </c>
      <c r="E67" t="s">
        <v>210</v>
      </c>
      <c r="F67" s="1">
        <v>44316</v>
      </c>
      <c r="G67" t="s">
        <v>21</v>
      </c>
      <c r="H67">
        <v>109160</v>
      </c>
    </row>
    <row r="68" spans="2:8">
      <c r="B68" t="s">
        <v>42</v>
      </c>
      <c r="C68" t="s">
        <v>7</v>
      </c>
      <c r="D68">
        <v>40</v>
      </c>
      <c r="E68" t="s">
        <v>208</v>
      </c>
      <c r="F68" s="1">
        <v>44204</v>
      </c>
      <c r="G68" t="s">
        <v>18</v>
      </c>
      <c r="H68">
        <v>99750</v>
      </c>
    </row>
    <row r="69" spans="2:8">
      <c r="B69" t="s">
        <v>96</v>
      </c>
      <c r="C69" t="s">
        <v>6</v>
      </c>
      <c r="D69">
        <v>31</v>
      </c>
      <c r="E69" t="s">
        <v>208</v>
      </c>
      <c r="F69" s="1">
        <v>44084</v>
      </c>
      <c r="G69" t="s">
        <v>24</v>
      </c>
      <c r="H69">
        <v>41980</v>
      </c>
    </row>
    <row r="70" spans="2:8">
      <c r="B70" t="s">
        <v>115</v>
      </c>
      <c r="C70" t="s">
        <v>7</v>
      </c>
      <c r="D70">
        <v>36</v>
      </c>
      <c r="E70" t="s">
        <v>208</v>
      </c>
      <c r="F70" s="1">
        <v>44272</v>
      </c>
      <c r="G70" t="s">
        <v>12</v>
      </c>
      <c r="H70">
        <v>71380</v>
      </c>
    </row>
    <row r="71" spans="2:8">
      <c r="B71" t="s">
        <v>94</v>
      </c>
      <c r="C71" t="s">
        <v>7</v>
      </c>
      <c r="D71">
        <v>27</v>
      </c>
      <c r="E71" t="s">
        <v>211</v>
      </c>
      <c r="F71" s="1">
        <v>44547</v>
      </c>
      <c r="G71" t="s">
        <v>18</v>
      </c>
      <c r="H71">
        <v>113280</v>
      </c>
    </row>
    <row r="72" spans="2:8">
      <c r="B72" t="s">
        <v>124</v>
      </c>
      <c r="C72" t="s">
        <v>6</v>
      </c>
      <c r="D72">
        <v>33</v>
      </c>
      <c r="E72" t="s">
        <v>208</v>
      </c>
      <c r="F72" s="1">
        <v>44747</v>
      </c>
      <c r="G72" t="s">
        <v>12</v>
      </c>
      <c r="H72">
        <v>86570</v>
      </c>
    </row>
    <row r="73" spans="2:8">
      <c r="B73" t="s">
        <v>55</v>
      </c>
      <c r="C73" t="s">
        <v>7</v>
      </c>
      <c r="D73">
        <v>26</v>
      </c>
      <c r="E73" t="s">
        <v>208</v>
      </c>
      <c r="F73" s="1">
        <v>44350</v>
      </c>
      <c r="G73" t="s">
        <v>18</v>
      </c>
      <c r="H73">
        <v>53540</v>
      </c>
    </row>
    <row r="74" spans="2:8">
      <c r="B74" t="s">
        <v>97</v>
      </c>
      <c r="C74" t="s">
        <v>7</v>
      </c>
      <c r="D74">
        <v>37</v>
      </c>
      <c r="E74" t="s">
        <v>208</v>
      </c>
      <c r="F74" s="1">
        <v>44640</v>
      </c>
      <c r="G74" t="s">
        <v>24</v>
      </c>
      <c r="H74">
        <v>69070</v>
      </c>
    </row>
    <row r="75" spans="2:8">
      <c r="B75" t="s">
        <v>103</v>
      </c>
      <c r="C75" t="s">
        <v>6</v>
      </c>
      <c r="D75">
        <v>30</v>
      </c>
      <c r="E75" t="s">
        <v>209</v>
      </c>
      <c r="F75" s="1">
        <v>44328</v>
      </c>
      <c r="G75" t="s">
        <v>12</v>
      </c>
      <c r="H75">
        <v>67910</v>
      </c>
    </row>
    <row r="76" spans="2:8">
      <c r="B76" t="s">
        <v>151</v>
      </c>
      <c r="C76" t="s">
        <v>7</v>
      </c>
      <c r="D76">
        <v>30</v>
      </c>
      <c r="E76" t="s">
        <v>208</v>
      </c>
      <c r="F76" s="1">
        <v>44214</v>
      </c>
      <c r="G76" t="s">
        <v>24</v>
      </c>
      <c r="H76">
        <v>69120</v>
      </c>
    </row>
    <row r="77" spans="2:8">
      <c r="B77" t="s">
        <v>117</v>
      </c>
      <c r="C77" t="s">
        <v>6</v>
      </c>
      <c r="D77">
        <v>34</v>
      </c>
      <c r="E77" t="s">
        <v>208</v>
      </c>
      <c r="F77" s="1">
        <v>44550</v>
      </c>
      <c r="G77" t="s">
        <v>12</v>
      </c>
      <c r="H77">
        <v>60130</v>
      </c>
    </row>
    <row r="78" spans="2:8">
      <c r="B78" t="s">
        <v>157</v>
      </c>
      <c r="C78" t="s">
        <v>7</v>
      </c>
      <c r="D78">
        <v>23</v>
      </c>
      <c r="E78" t="s">
        <v>208</v>
      </c>
      <c r="F78" s="1">
        <v>44378</v>
      </c>
      <c r="G78" t="s">
        <v>18</v>
      </c>
      <c r="H78">
        <v>106460</v>
      </c>
    </row>
    <row r="79" spans="2:8">
      <c r="B79" t="s">
        <v>23</v>
      </c>
      <c r="C79" t="s">
        <v>6</v>
      </c>
      <c r="D79">
        <v>37</v>
      </c>
      <c r="E79" t="s">
        <v>208</v>
      </c>
      <c r="F79" s="1">
        <v>44389</v>
      </c>
      <c r="G79" t="s">
        <v>15</v>
      </c>
      <c r="H79">
        <v>118100</v>
      </c>
    </row>
    <row r="80" spans="2:8">
      <c r="B80" t="s">
        <v>156</v>
      </c>
      <c r="C80" t="s">
        <v>6</v>
      </c>
      <c r="D80">
        <v>36</v>
      </c>
      <c r="E80" t="s">
        <v>208</v>
      </c>
      <c r="F80" s="1">
        <v>44468</v>
      </c>
      <c r="G80" t="s">
        <v>18</v>
      </c>
      <c r="H80">
        <v>78390</v>
      </c>
    </row>
    <row r="81" spans="2:8">
      <c r="B81" t="s">
        <v>160</v>
      </c>
      <c r="C81" t="s">
        <v>6</v>
      </c>
      <c r="D81">
        <v>30</v>
      </c>
      <c r="E81" t="s">
        <v>208</v>
      </c>
      <c r="F81" s="1">
        <v>44789</v>
      </c>
      <c r="G81" t="s">
        <v>18</v>
      </c>
      <c r="H81">
        <v>114180</v>
      </c>
    </row>
    <row r="82" spans="2:8">
      <c r="B82" t="s">
        <v>161</v>
      </c>
      <c r="C82" t="s">
        <v>6</v>
      </c>
      <c r="D82">
        <v>28</v>
      </c>
      <c r="E82" t="s">
        <v>208</v>
      </c>
      <c r="F82" s="1">
        <v>44590</v>
      </c>
      <c r="G82" t="s">
        <v>18</v>
      </c>
      <c r="H82">
        <v>104120</v>
      </c>
    </row>
    <row r="83" spans="2:8">
      <c r="B83" t="s">
        <v>126</v>
      </c>
      <c r="C83" t="s">
        <v>7</v>
      </c>
      <c r="D83">
        <v>30</v>
      </c>
      <c r="E83" t="s">
        <v>208</v>
      </c>
      <c r="F83" s="1">
        <v>44640</v>
      </c>
      <c r="G83" t="s">
        <v>18</v>
      </c>
      <c r="H83">
        <v>67950</v>
      </c>
    </row>
    <row r="84" spans="2:8">
      <c r="B84" t="s">
        <v>176</v>
      </c>
      <c r="C84" t="s">
        <v>6</v>
      </c>
      <c r="D84">
        <v>29</v>
      </c>
      <c r="E84" t="s">
        <v>208</v>
      </c>
      <c r="F84" s="1">
        <v>43962</v>
      </c>
      <c r="G84" t="s">
        <v>24</v>
      </c>
      <c r="H84">
        <v>34980</v>
      </c>
    </row>
    <row r="85" spans="2:8">
      <c r="B85" t="s">
        <v>77</v>
      </c>
      <c r="C85" t="s">
        <v>6</v>
      </c>
      <c r="D85">
        <v>24</v>
      </c>
      <c r="E85" t="s">
        <v>208</v>
      </c>
      <c r="F85" s="1">
        <v>44087</v>
      </c>
      <c r="G85" t="s">
        <v>24</v>
      </c>
      <c r="H85">
        <v>62780</v>
      </c>
    </row>
    <row r="86" spans="2:8">
      <c r="B86" t="s">
        <v>91</v>
      </c>
      <c r="C86" t="s">
        <v>7</v>
      </c>
      <c r="D86">
        <v>20</v>
      </c>
      <c r="E86" t="s">
        <v>208</v>
      </c>
      <c r="F86" s="1">
        <v>44397</v>
      </c>
      <c r="G86" t="s">
        <v>24</v>
      </c>
      <c r="H86">
        <v>107700</v>
      </c>
    </row>
    <row r="87" spans="2:8">
      <c r="B87" t="s">
        <v>10</v>
      </c>
      <c r="C87" t="s">
        <v>7</v>
      </c>
      <c r="D87">
        <v>25</v>
      </c>
      <c r="E87" t="s">
        <v>208</v>
      </c>
      <c r="F87" s="1">
        <v>44322</v>
      </c>
      <c r="G87" t="s">
        <v>21</v>
      </c>
      <c r="H87">
        <v>65700</v>
      </c>
    </row>
    <row r="88" spans="2:8">
      <c r="B88" t="s">
        <v>39</v>
      </c>
      <c r="C88" t="s">
        <v>6</v>
      </c>
      <c r="D88">
        <v>33</v>
      </c>
      <c r="E88" t="s">
        <v>211</v>
      </c>
      <c r="F88" s="1">
        <v>44313</v>
      </c>
      <c r="G88" t="s">
        <v>24</v>
      </c>
      <c r="H88">
        <v>75480</v>
      </c>
    </row>
    <row r="89" spans="2:8">
      <c r="B89" t="s">
        <v>146</v>
      </c>
      <c r="C89" t="s">
        <v>7</v>
      </c>
      <c r="D89">
        <v>33</v>
      </c>
      <c r="E89" t="s">
        <v>208</v>
      </c>
      <c r="F89" s="1">
        <v>44448</v>
      </c>
      <c r="G89" t="s">
        <v>24</v>
      </c>
      <c r="H89">
        <v>53870</v>
      </c>
    </row>
    <row r="90" spans="2:8">
      <c r="B90" t="s">
        <v>173</v>
      </c>
      <c r="C90" t="s">
        <v>6</v>
      </c>
      <c r="D90">
        <v>36</v>
      </c>
      <c r="E90" t="s">
        <v>208</v>
      </c>
      <c r="F90" s="1">
        <v>44433</v>
      </c>
      <c r="G90" t="s">
        <v>21</v>
      </c>
      <c r="H90">
        <v>78540</v>
      </c>
    </row>
    <row r="91" spans="2:8">
      <c r="B91" t="s">
        <v>189</v>
      </c>
      <c r="C91" t="s">
        <v>7</v>
      </c>
      <c r="D91">
        <v>19</v>
      </c>
      <c r="E91" t="s">
        <v>208</v>
      </c>
      <c r="F91" s="1">
        <v>44218</v>
      </c>
      <c r="G91" t="s">
        <v>18</v>
      </c>
      <c r="H91">
        <v>58960</v>
      </c>
    </row>
    <row r="92" spans="2:8">
      <c r="B92" t="s">
        <v>153</v>
      </c>
      <c r="C92" t="s">
        <v>7</v>
      </c>
      <c r="D92">
        <v>46</v>
      </c>
      <c r="E92" t="s">
        <v>208</v>
      </c>
      <c r="F92" s="1">
        <v>44697</v>
      </c>
      <c r="G92" t="s">
        <v>18</v>
      </c>
      <c r="H92">
        <v>70610</v>
      </c>
    </row>
    <row r="93" spans="2:8">
      <c r="B93" t="s">
        <v>38</v>
      </c>
      <c r="C93" t="s">
        <v>7</v>
      </c>
      <c r="D93">
        <v>33</v>
      </c>
      <c r="E93" t="s">
        <v>208</v>
      </c>
      <c r="F93" s="1">
        <v>44181</v>
      </c>
      <c r="G93" t="s">
        <v>12</v>
      </c>
      <c r="H93">
        <v>59430</v>
      </c>
    </row>
    <row r="94" spans="2:8">
      <c r="B94" t="s">
        <v>145</v>
      </c>
      <c r="C94" t="s">
        <v>7</v>
      </c>
      <c r="D94">
        <v>33</v>
      </c>
      <c r="E94" t="s">
        <v>206</v>
      </c>
      <c r="F94" s="1">
        <v>44640</v>
      </c>
      <c r="G94" t="s">
        <v>18</v>
      </c>
      <c r="H94">
        <v>48530</v>
      </c>
    </row>
    <row r="95" spans="2:8">
      <c r="B95" t="s">
        <v>177</v>
      </c>
      <c r="C95" t="s">
        <v>6</v>
      </c>
      <c r="D95">
        <v>33</v>
      </c>
      <c r="E95" t="s">
        <v>208</v>
      </c>
      <c r="F95" s="1">
        <v>44129</v>
      </c>
      <c r="G95" t="s">
        <v>24</v>
      </c>
      <c r="H95">
        <v>96140</v>
      </c>
    </row>
    <row r="96" spans="2:8">
      <c r="B96" t="s">
        <v>62</v>
      </c>
      <c r="C96" t="s">
        <v>7</v>
      </c>
      <c r="D96">
        <v>20</v>
      </c>
      <c r="E96" t="s">
        <v>208</v>
      </c>
      <c r="F96" s="1">
        <v>44122</v>
      </c>
      <c r="G96" t="s">
        <v>24</v>
      </c>
      <c r="H96">
        <v>112650</v>
      </c>
    </row>
    <row r="97" spans="2:8">
      <c r="B97" t="s">
        <v>195</v>
      </c>
      <c r="C97" t="s">
        <v>6</v>
      </c>
      <c r="D97">
        <v>32</v>
      </c>
      <c r="E97" t="s">
        <v>206</v>
      </c>
      <c r="F97" s="1">
        <v>44293</v>
      </c>
      <c r="G97" t="s">
        <v>24</v>
      </c>
      <c r="H97">
        <v>43840</v>
      </c>
    </row>
    <row r="98" spans="2:8">
      <c r="B98" t="s">
        <v>162</v>
      </c>
      <c r="C98" t="s">
        <v>7</v>
      </c>
      <c r="D98">
        <v>31</v>
      </c>
      <c r="E98" t="s">
        <v>208</v>
      </c>
      <c r="F98" s="1">
        <v>44663</v>
      </c>
      <c r="G98" t="s">
        <v>18</v>
      </c>
      <c r="H98">
        <v>103550</v>
      </c>
    </row>
    <row r="99" spans="2:8">
      <c r="B99" t="s">
        <v>123</v>
      </c>
      <c r="C99" t="s">
        <v>6</v>
      </c>
      <c r="D99">
        <v>32</v>
      </c>
      <c r="E99" t="s">
        <v>208</v>
      </c>
      <c r="F99" s="1">
        <v>44339</v>
      </c>
      <c r="G99" t="s">
        <v>15</v>
      </c>
      <c r="H99">
        <v>45510</v>
      </c>
    </row>
    <row r="100" spans="2:8">
      <c r="B100" t="s">
        <v>14</v>
      </c>
      <c r="D100">
        <v>37</v>
      </c>
      <c r="E100" t="s">
        <v>209</v>
      </c>
      <c r="F100" s="1">
        <v>44085</v>
      </c>
      <c r="G100" t="s">
        <v>12</v>
      </c>
      <c r="H100">
        <v>115440</v>
      </c>
    </row>
    <row r="101" spans="2:8">
      <c r="B101" t="s">
        <v>133</v>
      </c>
      <c r="C101" t="s">
        <v>6</v>
      </c>
      <c r="D101">
        <v>38</v>
      </c>
      <c r="E101" t="s">
        <v>206</v>
      </c>
      <c r="F101" s="1">
        <v>44268</v>
      </c>
      <c r="G101" t="s">
        <v>21</v>
      </c>
      <c r="H101">
        <v>56870</v>
      </c>
    </row>
    <row r="102" spans="2:8">
      <c r="B102" t="s">
        <v>149</v>
      </c>
      <c r="C102" t="s">
        <v>6</v>
      </c>
      <c r="D102">
        <v>25</v>
      </c>
      <c r="E102" t="s">
        <v>208</v>
      </c>
      <c r="F102" s="1">
        <v>44144</v>
      </c>
      <c r="G102" t="s">
        <v>21</v>
      </c>
      <c r="H102">
        <v>92700</v>
      </c>
    </row>
    <row r="103" spans="2:8">
      <c r="B103" t="s">
        <v>154</v>
      </c>
      <c r="D103">
        <v>32</v>
      </c>
      <c r="E103" t="s">
        <v>208</v>
      </c>
      <c r="F103" s="1">
        <v>44713</v>
      </c>
      <c r="G103" t="s">
        <v>24</v>
      </c>
      <c r="H103">
        <v>91310</v>
      </c>
    </row>
    <row r="104" spans="2:8">
      <c r="B104" t="s">
        <v>196</v>
      </c>
      <c r="C104" t="s">
        <v>7</v>
      </c>
      <c r="D104">
        <v>33</v>
      </c>
      <c r="E104" t="s">
        <v>208</v>
      </c>
      <c r="F104" s="1">
        <v>44324</v>
      </c>
      <c r="G104" t="s">
        <v>21</v>
      </c>
      <c r="H104">
        <v>74550</v>
      </c>
    </row>
    <row r="105" spans="2:8">
      <c r="B105" t="s">
        <v>60</v>
      </c>
      <c r="C105" t="s">
        <v>7</v>
      </c>
      <c r="D105">
        <v>25</v>
      </c>
      <c r="E105" t="s">
        <v>206</v>
      </c>
      <c r="F105" s="1">
        <v>44665</v>
      </c>
      <c r="G105" t="s">
        <v>18</v>
      </c>
      <c r="H105">
        <v>109190</v>
      </c>
    </row>
    <row r="106" spans="2:8">
      <c r="B106" t="s">
        <v>129</v>
      </c>
      <c r="C106" t="s">
        <v>6</v>
      </c>
      <c r="D106">
        <v>40</v>
      </c>
      <c r="E106" t="s">
        <v>208</v>
      </c>
      <c r="F106" s="1">
        <v>44320</v>
      </c>
      <c r="G106" t="s">
        <v>24</v>
      </c>
      <c r="H106">
        <v>104410</v>
      </c>
    </row>
    <row r="107" spans="2:8">
      <c r="B107" t="s">
        <v>134</v>
      </c>
      <c r="C107" t="s">
        <v>7</v>
      </c>
      <c r="D107">
        <v>30</v>
      </c>
      <c r="E107" t="s">
        <v>208</v>
      </c>
      <c r="F107" s="1">
        <v>44544</v>
      </c>
      <c r="G107" t="s">
        <v>12</v>
      </c>
      <c r="H107">
        <v>96800</v>
      </c>
    </row>
    <row r="108" spans="2:8">
      <c r="B108" t="s">
        <v>37</v>
      </c>
      <c r="C108" t="s">
        <v>7</v>
      </c>
      <c r="D108">
        <v>28</v>
      </c>
      <c r="E108" t="s">
        <v>206</v>
      </c>
      <c r="F108" s="1">
        <v>43980</v>
      </c>
      <c r="G108" t="s">
        <v>12</v>
      </c>
      <c r="H108">
        <v>48170</v>
      </c>
    </row>
    <row r="109" spans="2:8">
      <c r="B109" t="s">
        <v>19</v>
      </c>
      <c r="C109" t="s">
        <v>7</v>
      </c>
      <c r="D109">
        <v>21</v>
      </c>
      <c r="E109" t="s">
        <v>208</v>
      </c>
      <c r="F109" s="1">
        <v>44042</v>
      </c>
      <c r="G109" t="s">
        <v>18</v>
      </c>
      <c r="H109">
        <v>37920</v>
      </c>
    </row>
    <row r="110" spans="2:8">
      <c r="B110" t="s">
        <v>40</v>
      </c>
      <c r="C110" t="s">
        <v>7</v>
      </c>
      <c r="D110">
        <v>34</v>
      </c>
      <c r="E110" t="s">
        <v>208</v>
      </c>
      <c r="F110" s="1">
        <v>44642</v>
      </c>
      <c r="G110" t="s">
        <v>18</v>
      </c>
      <c r="H110">
        <v>112650</v>
      </c>
    </row>
    <row r="111" spans="2:8">
      <c r="B111" t="s">
        <v>61</v>
      </c>
      <c r="C111" t="s">
        <v>6</v>
      </c>
      <c r="D111">
        <v>34</v>
      </c>
      <c r="E111" t="s">
        <v>209</v>
      </c>
      <c r="F111" s="1">
        <v>44660</v>
      </c>
      <c r="G111" t="s">
        <v>21</v>
      </c>
      <c r="H111">
        <v>49630</v>
      </c>
    </row>
    <row r="112" spans="2:8">
      <c r="B112" t="s">
        <v>28</v>
      </c>
      <c r="C112" t="s">
        <v>7</v>
      </c>
      <c r="D112">
        <v>36</v>
      </c>
      <c r="E112" t="s">
        <v>208</v>
      </c>
      <c r="F112" s="1">
        <v>43958</v>
      </c>
      <c r="G112" t="s">
        <v>24</v>
      </c>
      <c r="H112">
        <v>118840</v>
      </c>
    </row>
    <row r="113" spans="2:8">
      <c r="B113" t="s">
        <v>167</v>
      </c>
      <c r="C113" t="s">
        <v>7</v>
      </c>
      <c r="D113">
        <v>30</v>
      </c>
      <c r="E113" t="s">
        <v>208</v>
      </c>
      <c r="F113" s="1">
        <v>44789</v>
      </c>
      <c r="G113" t="s">
        <v>24</v>
      </c>
      <c r="H113">
        <v>69710</v>
      </c>
    </row>
    <row r="114" spans="2:8">
      <c r="B114" t="s">
        <v>183</v>
      </c>
      <c r="C114" t="s">
        <v>7</v>
      </c>
      <c r="D114">
        <v>20</v>
      </c>
      <c r="E114" t="s">
        <v>208</v>
      </c>
      <c r="F114" s="1">
        <v>44683</v>
      </c>
      <c r="G114" t="s">
        <v>18</v>
      </c>
      <c r="H114">
        <v>79570</v>
      </c>
    </row>
    <row r="115" spans="2:8">
      <c r="B115" t="s">
        <v>171</v>
      </c>
      <c r="C115" t="s">
        <v>6</v>
      </c>
      <c r="D115">
        <v>22</v>
      </c>
      <c r="E115" t="s">
        <v>206</v>
      </c>
      <c r="F115" s="1">
        <v>44388</v>
      </c>
      <c r="G115" t="s">
        <v>18</v>
      </c>
      <c r="H115">
        <v>76900</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Key Insights</vt:lpstr>
      <vt:lpstr>Pivots</vt:lpstr>
      <vt:lpstr>Cleaned Data</vt:lpstr>
      <vt:lpstr>Calculations</vt:lpstr>
      <vt:lpstr>Cleaned Data_NZ staff</vt:lpstr>
      <vt:lpstr>Cleaned Data_Ind Staff</vt:lpstr>
      <vt:lpstr>Raw Data 1</vt:lpstr>
      <vt:lpstr>Raw Data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Dany Kukosama</cp:lastModifiedBy>
  <cp:lastPrinted>2026-04-20T20:15:49Z</cp:lastPrinted>
  <dcterms:created xsi:type="dcterms:W3CDTF">2021-03-14T20:21:00Z</dcterms:created>
  <dcterms:modified xsi:type="dcterms:W3CDTF">2026-10-09T16:17:37Z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FD643041BE3C419C8FBBAC2FEC54E6A1_13</vt:lpwstr>
  </property>
  <property fmtid="{D5CDD505-2E9C-101B-9397-08002B2CF9AE}" pid="3" name="KSOProductBuildVer">
    <vt:lpwstr>1033-12.1.0.25242</vt:lpwstr>
  </property>
  <property fmtid="{D5CDD505-2E9C-101B-9397-08002B2CF9AE}" pid="4" name="CalculationRule">
    <vt:i4>0</vt:i4>
  </property>
</Properties>
</file>